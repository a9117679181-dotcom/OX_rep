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ate1904="false"/>
  <bookViews>
    <workbookView xWindow="0" yWindow="0" windowWidth="28800" windowHeight="17600"/>
  </bookViews>
  <sheets>
    <sheet name="Assumptions" sheetId="1" r:id="rId1"/>
    <sheet name="Country Rollout" sheetId="2" r:id="rId2"/>
    <sheet name="Funnel" sheetId="3" r:id="rId3"/>
    <sheet name="Revenue" sheetId="4" r:id="rId4"/>
    <sheet name="Costs" sheetId="5" r:id="rId5"/>
    <sheet name="Unit_Economics" sheetId="6" r:id="rId6"/>
    <sheet name="Scenarios" sheetId="7" r:id="rId7"/>
    <sheet name="Sensitivity" sheetId="8" r:id="rId8"/>
    <sheet name="Investor Summary" sheetId="9" r:id="rId9"/>
  </sheets>
  <calcPr calcId="191029" fullCalcOnLoad="1" forceFullCalc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cols>
    <col min="1" max="1" width="22" customWidth="1"/>
    <col min="2" max="2" width="34" customWidth="1"/>
    <col min="3" max="3" width="16" customWidth="1"/>
    <col min="4" max="4" width="16" customWidth="1"/>
    <col min="5" max="5" width="16" customWidth="1"/>
    <col min="6" max="6" width="18" customWidth="1"/>
    <col min="7" max="7" width="44" customWidth="1"/>
  </cols>
  <sheetData>
    <row r="1">
      <c r="A1" t="inlineStr">
        <is>
          <t>OX Financial Model - Assumptions</t>
        </is>
      </c>
      <c r="B1"/>
      <c r="C1"/>
      <c r="D1"/>
      <c r="E1"/>
      <c r="F1"/>
      <c r="G1"/>
    </row>
    <row r="2">
      <c r="A2" t="inlineStr">
        <is>
          <t>Date</t>
        </is>
      </c>
      <c r="B2" t="inlineStr">
        <is>
          <t>2026-06-10</t>
        </is>
      </c>
      <c r="C2"/>
      <c r="D2"/>
      <c r="E2"/>
      <c r="F2"/>
      <c r="G2"/>
    </row>
    <row r="3">
      <c r="A3" t="inlineStr">
        <is>
          <t>Category</t>
        </is>
      </c>
      <c r="B3" t="inlineStr">
        <is>
          <t>Metric</t>
        </is>
      </c>
      <c r="C3" t="inlineStr">
        <is>
          <t>Conservative</t>
        </is>
      </c>
      <c r="D3" t="inlineStr">
        <is>
          <t>Base</t>
        </is>
      </c>
      <c r="E3" t="inlineStr">
        <is>
          <t>Upside</t>
        </is>
      </c>
      <c r="F3" t="inlineStr">
        <is>
          <t>Unit / type</t>
        </is>
      </c>
      <c r="G3" t="inlineStr">
        <is>
          <t>Source / note</t>
        </is>
      </c>
    </row>
    <row r="4">
      <c r="A4" t="inlineStr">
        <is>
          <t>Product economy</t>
        </is>
      </c>
      <c r="B4" t="inlineStr">
        <is>
          <t>Prize pool share</t>
        </is>
      </c>
      <c r="C4">
        <v>0.8</v>
      </c>
      <c r="D4">
        <v>0.8</v>
      </c>
      <c r="E4">
        <v>0.8</v>
      </c>
      <c r="F4" t="inlineStr">
        <is>
          <t>% of valid GMV</t>
        </is>
      </c>
      <c r="G4" t="inlineStr">
        <is>
          <t>Internal OX TZ: prize pool and jackpot</t>
        </is>
      </c>
    </row>
    <row r="5">
      <c r="A5" t="inlineStr">
        <is>
          <t>Product economy</t>
        </is>
      </c>
      <c r="B5" t="inlineStr">
        <is>
          <t>Platform fee share</t>
        </is>
      </c>
      <c r="C5">
        <v>0.1</v>
      </c>
      <c r="D5">
        <v>0.1</v>
      </c>
      <c r="E5">
        <v>0.1</v>
      </c>
      <c r="F5" t="inlineStr">
        <is>
          <t>% of valid GMV</t>
        </is>
      </c>
      <c r="G5" t="inlineStr">
        <is>
          <t>Internal OX TZ: platform fee</t>
        </is>
      </c>
    </row>
    <row r="6">
      <c r="A6" t="inlineStr">
        <is>
          <t>Product economy</t>
        </is>
      </c>
      <c r="B6" t="inlineStr">
        <is>
          <t>Jackpot contribution share</t>
        </is>
      </c>
      <c r="C6">
        <v>0.1</v>
      </c>
      <c r="D6">
        <v>0.1</v>
      </c>
      <c r="E6">
        <v>0.1</v>
      </c>
      <c r="F6" t="inlineStr">
        <is>
          <t>% of valid GMV</t>
        </is>
      </c>
      <c r="G6" t="inlineStr">
        <is>
          <t>Internal OX TZ: next jackpot contribution</t>
        </is>
      </c>
    </row>
    <row r="7">
      <c r="A7" t="inlineStr">
        <is>
          <t>Product economy</t>
        </is>
      </c>
      <c r="B7" t="inlineStr">
        <is>
          <t>Gas reserve share of platform fee</t>
        </is>
      </c>
      <c r="C7">
        <v>0.2</v>
      </c>
      <c r="D7">
        <v>0.2</v>
      </c>
      <c r="E7">
        <v>0.2</v>
      </c>
      <c r="F7" t="inlineStr">
        <is>
          <t>% of platform fee</t>
        </is>
      </c>
      <c r="G7" t="inlineStr">
        <is>
          <t>Internal OX TZ: MVP gas reserve</t>
        </is>
      </c>
    </row>
    <row r="8">
      <c r="A8" t="inlineStr">
        <is>
          <t>Product economy</t>
        </is>
      </c>
      <c r="B8" t="inlineStr">
        <is>
          <t>Net platform margin before OPEX</t>
        </is>
      </c>
      <c r="C8">
        <v>0.08</v>
      </c>
      <c r="D8">
        <v>0.08</v>
      </c>
      <c r="E8">
        <v>0.08</v>
      </c>
      <c r="F8" t="inlineStr">
        <is>
          <t>% of valid GMV</t>
        </is>
      </c>
      <c r="G8" t="inlineStr">
        <is>
          <t>Platform fee minus gas reserve</t>
        </is>
      </c>
    </row>
    <row r="9">
      <c r="A9" t="inlineStr">
        <is>
          <t>Product economy</t>
        </is>
      </c>
      <c r="B9" t="inlineStr">
        <is>
          <t>Minimum public jackpot</t>
        </is>
      </c>
      <c r="C9">
        <v>5000</v>
      </c>
      <c r="D9">
        <v>5000</v>
      </c>
      <c r="E9">
        <v>5000</v>
      </c>
      <c r="F9" t="inlineStr">
        <is>
          <t>USDC</t>
        </is>
      </c>
      <c r="G9" t="inlineStr">
        <is>
          <t>Internal OX TZ: MVP minimum jackpot</t>
        </is>
      </c>
    </row>
    <row r="10">
      <c r="A10" t="inlineStr">
        <is>
          <t>Funnel</t>
        </is>
      </c>
      <c r="B10" t="inlineStr">
        <is>
          <t>Starting monthly visits</t>
        </is>
      </c>
      <c r="C10">
        <v>10000</v>
      </c>
      <c r="D10">
        <v>30000</v>
      </c>
      <c r="E10">
        <v>80000</v>
      </c>
      <c r="F10" t="inlineStr">
        <is>
          <t>visits</t>
        </is>
      </c>
      <c r="G10" t="inlineStr">
        <is>
          <t>Hypothesis: first live country/month</t>
        </is>
      </c>
    </row>
    <row r="11">
      <c r="A11" t="inlineStr">
        <is>
          <t>Funnel</t>
        </is>
      </c>
      <c r="B11" t="inlineStr">
        <is>
          <t>Monthly visit growth</t>
        </is>
      </c>
      <c r="C11">
        <v>0.1</v>
      </c>
      <c r="D11">
        <v>0.18</v>
      </c>
      <c r="E11">
        <v>0.28</v>
      </c>
      <c r="F11" t="inlineStr">
        <is>
          <t>% m/m</t>
        </is>
      </c>
      <c r="G11" t="inlineStr">
        <is>
          <t>Scenario assumption</t>
        </is>
      </c>
    </row>
    <row r="12">
      <c r="A12" t="inlineStr">
        <is>
          <t>Funnel</t>
        </is>
      </c>
      <c r="B12" t="inlineStr">
        <is>
          <t>Eligible user rate after geo/compliance</t>
        </is>
      </c>
      <c r="C12">
        <v>0.75</v>
      </c>
      <c r="D12">
        <v>0.82</v>
      </c>
      <c r="E12">
        <v>0.88</v>
      </c>
      <c r="F12" t="inlineStr">
        <is>
          <t>% of visits</t>
        </is>
      </c>
      <c r="G12" t="inlineStr">
        <is>
          <t>After blocked country/VPN/proxy/compliance filters</t>
        </is>
      </c>
    </row>
    <row r="13">
      <c r="A13" t="inlineStr">
        <is>
          <t>Funnel</t>
        </is>
      </c>
      <c r="B13" t="inlineStr">
        <is>
          <t>Wallet connect rate</t>
        </is>
      </c>
      <c r="C13">
        <v>0.12</v>
      </c>
      <c r="D13">
        <v>0.18</v>
      </c>
      <c r="E13">
        <v>0.25</v>
      </c>
      <c r="F13" t="inlineStr">
        <is>
          <t>% of eligible users</t>
        </is>
      </c>
      <c r="G13" t="inlineStr">
        <is>
          <t>UX/onboarding assumption</t>
        </is>
      </c>
    </row>
    <row r="14">
      <c r="A14" t="inlineStr">
        <is>
          <t>Funnel</t>
        </is>
      </c>
      <c r="B14" t="inlineStr">
        <is>
          <t>USDC readiness rate</t>
        </is>
      </c>
      <c r="C14">
        <v>0.55</v>
      </c>
      <c r="D14">
        <v>0.65</v>
      </c>
      <c r="E14">
        <v>0.75</v>
      </c>
      <c r="F14" t="inlineStr">
        <is>
          <t>% of connected wallets</t>
        </is>
      </c>
      <c r="G14" t="inlineStr">
        <is>
          <t>User can buy with USDC</t>
        </is>
      </c>
    </row>
    <row r="15">
      <c r="A15" t="inlineStr">
        <is>
          <t>Funnel</t>
        </is>
      </c>
      <c r="B15" t="inlineStr">
        <is>
          <t>First purchase conversion</t>
        </is>
      </c>
      <c r="C15">
        <v>0.25</v>
      </c>
      <c r="D15">
        <v>0.32</v>
      </c>
      <c r="E15">
        <v>0.4</v>
      </c>
      <c r="F15" t="inlineStr">
        <is>
          <t>% of USDC-ready users</t>
        </is>
      </c>
      <c r="G15" t="inlineStr">
        <is>
          <t>Ticket purchase conversion</t>
        </is>
      </c>
    </row>
    <row r="16">
      <c r="A16" t="inlineStr">
        <is>
          <t>Funnel</t>
        </is>
      </c>
      <c r="B16" t="inlineStr">
        <is>
          <t>Repeat purchase rate</t>
        </is>
      </c>
      <c r="C16">
        <v>0.3</v>
      </c>
      <c r="D16">
        <v>0.42</v>
      </c>
      <c r="E16">
        <v>0.55</v>
      </c>
      <c r="F16" t="inlineStr">
        <is>
          <t>% of previous active users</t>
        </is>
      </c>
      <c r="G16" t="inlineStr">
        <is>
          <t>Monthly repeat behavior</t>
        </is>
      </c>
    </row>
    <row r="17">
      <c r="A17" t="inlineStr">
        <is>
          <t>Funnel</t>
        </is>
      </c>
      <c r="B17" t="inlineStr">
        <is>
          <t>Tickets per active user per month</t>
        </is>
      </c>
      <c r="C17">
        <v>1.4</v>
      </c>
      <c r="D17">
        <v>2.2</v>
      </c>
      <c r="E17">
        <v>3.1</v>
      </c>
      <c r="F17" t="inlineStr">
        <is>
          <t>tickets</t>
        </is>
      </c>
      <c r="G17" t="inlineStr">
        <is>
          <t>Frequency assumption</t>
        </is>
      </c>
    </row>
    <row r="18">
      <c r="A18" t="inlineStr">
        <is>
          <t>Funnel</t>
        </is>
      </c>
      <c r="B18" t="inlineStr">
        <is>
          <t>Average ticket</t>
        </is>
      </c>
      <c r="C18">
        <v>8</v>
      </c>
      <c r="D18">
        <v>15</v>
      </c>
      <c r="E18">
        <v>25</v>
      </c>
      <c r="F18" t="inlineStr">
        <is>
          <t>USDC</t>
        </is>
      </c>
      <c r="G18" t="inlineStr">
        <is>
          <t>Average total ticket price</t>
        </is>
      </c>
    </row>
    <row r="19">
      <c r="A19" t="inlineStr">
        <is>
          <t>Partner economics</t>
        </is>
      </c>
      <c r="B19" t="inlineStr">
        <is>
          <t>Partner share of first buyers</t>
        </is>
      </c>
      <c r="C19">
        <v>0.5</v>
      </c>
      <c r="D19">
        <v>0.6</v>
      </c>
      <c r="E19">
        <v>0.65</v>
      </c>
      <c r="F19" t="inlineStr">
        <is>
          <t>%</t>
        </is>
      </c>
      <c r="G19" t="inlineStr">
        <is>
          <t>Share of new buyers attributed to partners</t>
        </is>
      </c>
    </row>
    <row r="20">
      <c r="A20" t="inlineStr">
        <is>
          <t>Partner economics</t>
        </is>
      </c>
      <c r="B20" t="inlineStr">
        <is>
          <t>CPA per qualified player</t>
        </is>
      </c>
      <c r="C20">
        <v>15</v>
      </c>
      <c r="D20">
        <v>15</v>
      </c>
      <c r="E20">
        <v>15</v>
      </c>
      <c r="F20" t="inlineStr">
        <is>
          <t>USDC</t>
        </is>
      </c>
      <c r="G20" t="inlineStr">
        <is>
          <t>Internal OX TZ: CPA hypothesis, not guarantee</t>
        </is>
      </c>
    </row>
    <row r="21">
      <c r="A21" t="inlineStr">
        <is>
          <t>Partner economics</t>
        </is>
      </c>
      <c r="B21" t="inlineStr">
        <is>
          <t>CPA approved rate</t>
        </is>
      </c>
      <c r="C21">
        <v>0.65</v>
      </c>
      <c r="D21">
        <v>0.75</v>
      </c>
      <c r="E21">
        <v>0.82</v>
      </c>
      <c r="F21" t="inlineStr">
        <is>
          <t>%</t>
        </is>
      </c>
      <c r="G21" t="inlineStr">
        <is>
          <t>After fraud/quality review</t>
        </is>
      </c>
    </row>
    <row r="22">
      <c r="A22" t="inlineStr">
        <is>
          <t>Compliance</t>
        </is>
      </c>
      <c r="B22" t="inlineStr">
        <is>
          <t>KYC required rate</t>
        </is>
      </c>
      <c r="C22">
        <v>0.03</v>
      </c>
      <c r="D22">
        <v>0.05</v>
      </c>
      <c r="E22">
        <v>0.07</v>
      </c>
      <c r="F22" t="inlineStr">
        <is>
          <t>% of active users</t>
        </is>
      </c>
      <c r="G22" t="inlineStr">
        <is>
          <t>High-value/risk-triggered KYC</t>
        </is>
      </c>
    </row>
    <row r="23">
      <c r="A23" t="inlineStr">
        <is>
          <t>Compliance</t>
        </is>
      </c>
      <c r="B23" t="inlineStr">
        <is>
          <t>KYC cost per checked user</t>
        </is>
      </c>
      <c r="C23">
        <v>2.5</v>
      </c>
      <c r="D23">
        <v>2</v>
      </c>
      <c r="E23">
        <v>1.8</v>
      </c>
      <c r="F23" t="inlineStr">
        <is>
          <t>USDC</t>
        </is>
      </c>
      <c r="G23" t="inlineStr">
        <is>
          <t>Provider hypothesis</t>
        </is>
      </c>
    </row>
    <row r="24">
      <c r="A24" t="inlineStr">
        <is>
          <t>Variable costs</t>
        </is>
      </c>
      <c r="B24" t="inlineStr">
        <is>
          <t>Support cost per active user</t>
        </is>
      </c>
      <c r="C24">
        <v>0.3</v>
      </c>
      <c r="D24">
        <v>0.25</v>
      </c>
      <c r="E24">
        <v>0.2</v>
      </c>
      <c r="F24" t="inlineStr">
        <is>
          <t>USDC/month</t>
        </is>
      </c>
      <c r="G24" t="inlineStr">
        <is>
          <t>Support and ops variable load</t>
        </is>
      </c>
    </row>
    <row r="25">
      <c r="A25" t="inlineStr">
        <is>
          <t>Fixed costs</t>
        </is>
      </c>
      <c r="B25" t="inlineStr">
        <is>
          <t>Monthly product/dev/ops cost</t>
        </is>
      </c>
      <c r="C25">
        <v>100000</v>
      </c>
      <c r="D25">
        <v>140000</v>
      </c>
      <c r="E25">
        <v>220000</v>
      </c>
      <c r="F25" t="inlineStr">
        <is>
          <t>USDC/month</t>
        </is>
      </c>
      <c r="G25" t="inlineStr">
        <is>
          <t>Team and operations</t>
        </is>
      </c>
    </row>
    <row r="26">
      <c r="A26" t="inlineStr">
        <is>
          <t>Fixed costs</t>
        </is>
      </c>
      <c r="B26" t="inlineStr">
        <is>
          <t>Monthly marketing fixed budget</t>
        </is>
      </c>
      <c r="C26">
        <v>10000</v>
      </c>
      <c r="D26">
        <v>25000</v>
      </c>
      <c r="E26">
        <v>60000</v>
      </c>
      <c r="F26" t="inlineStr">
        <is>
          <t>USDC/month</t>
        </is>
      </c>
      <c r="G26" t="inlineStr">
        <is>
          <t>Non-CPA marketing/content/community</t>
        </is>
      </c>
    </row>
    <row r="27">
      <c r="A27" t="inlineStr">
        <is>
          <t>Fixed costs</t>
        </is>
      </c>
      <c r="B27" t="inlineStr">
        <is>
          <t>Monthly legal/compliance reserve</t>
        </is>
      </c>
      <c r="C27">
        <v>10000</v>
      </c>
      <c r="D27">
        <v>15000</v>
      </c>
      <c r="E27">
        <v>25000</v>
      </c>
      <c r="F27" t="inlineStr">
        <is>
          <t>USDC/month</t>
        </is>
      </c>
      <c r="G27" t="inlineStr">
        <is>
          <t>Legal, country memos, licensing work</t>
        </is>
      </c>
    </row>
    <row r="28">
      <c r="A28" t="inlineStr">
        <is>
          <t>Fixed costs</t>
        </is>
      </c>
      <c r="B28" t="inlineStr">
        <is>
          <t>Monthly oracle/data cost</t>
        </is>
      </c>
      <c r="C28">
        <v>5000</v>
      </c>
      <c r="D28">
        <v>8000</v>
      </c>
      <c r="E28">
        <v>15000</v>
      </c>
      <c r="F28" t="inlineStr">
        <is>
          <t>USDC/month</t>
        </is>
      </c>
      <c r="G28" t="inlineStr">
        <is>
          <t>Sports data APIs and result verification</t>
        </is>
      </c>
    </row>
    <row r="29">
      <c r="A29" t="inlineStr">
        <is>
          <t>Fixed costs</t>
        </is>
      </c>
      <c r="B29" t="inlineStr">
        <is>
          <t>Monthly infrastructure cost</t>
        </is>
      </c>
      <c r="C29">
        <v>4000</v>
      </c>
      <c r="D29">
        <v>8000</v>
      </c>
      <c r="E29">
        <v>20000</v>
      </c>
      <c r="F29" t="inlineStr">
        <is>
          <t>USDC/month</t>
        </is>
      </c>
      <c r="G29" t="inlineStr">
        <is>
          <t>Hosting, indexer, monitoring, backups</t>
        </is>
      </c>
    </row>
    <row r="30">
      <c r="A30" t="inlineStr">
        <is>
          <t>Fixed costs</t>
        </is>
      </c>
      <c r="B30" t="inlineStr">
        <is>
          <t>Monthly audit/security reserve</t>
        </is>
      </c>
      <c r="C30">
        <v>5000</v>
      </c>
      <c r="D30">
        <v>7000</v>
      </c>
      <c r="E30">
        <v>10000</v>
      </c>
      <c r="F30" t="inlineStr">
        <is>
          <t>USDC/month</t>
        </is>
      </c>
      <c r="G30" t="inlineStr">
        <is>
          <t>Audit/security reserve</t>
        </is>
      </c>
    </row>
    <row r="31">
      <c r="A31" t="inlineStr">
        <is>
          <t>Risk reserve</t>
        </is>
      </c>
      <c r="B31" t="inlineStr">
        <is>
          <t>Monthly jackpot top-up reserve</t>
        </is>
      </c>
      <c r="C31">
        <v>5000</v>
      </c>
      <c r="D31">
        <v>8000</v>
      </c>
      <c r="E31">
        <v>12000</v>
      </c>
      <c r="F31" t="inlineStr">
        <is>
          <t>USDC/month</t>
        </is>
      </c>
      <c r="G31" t="inlineStr">
        <is>
          <t>Support reserve for 5,000 USDC public jackpot</t>
        </is>
      </c>
    </row>
    <row r="32">
      <c r="A32" t="inlineStr">
        <is>
          <t>Funding</t>
        </is>
      </c>
      <c r="B32" t="inlineStr">
        <is>
          <t>Runway target</t>
        </is>
      </c>
      <c r="C32">
        <v>18</v>
      </c>
      <c r="D32">
        <v>18</v>
      </c>
      <c r="E32">
        <v>18</v>
      </c>
      <c r="F32" t="inlineStr">
        <is>
          <t>months</t>
        </is>
      </c>
      <c r="G32" t="inlineStr">
        <is>
          <t>Funding planning</t>
        </is>
      </c>
    </row>
    <row r="33">
      <c r="A33" t="inlineStr">
        <is>
          <t>Funding</t>
        </is>
      </c>
      <c r="B33" t="inlineStr">
        <is>
          <t>Initial cash buffer</t>
        </is>
      </c>
      <c r="C33">
        <v>100000</v>
      </c>
      <c r="D33">
        <v>150000</v>
      </c>
      <c r="E33">
        <v>250000</v>
      </c>
      <c r="F33" t="inlineStr">
        <is>
          <t>USDC</t>
        </is>
      </c>
      <c r="G33" t="inlineStr">
        <is>
          <t>Operational contingency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cols>
    <col min="1" max="1" width="14" customWidth="1"/>
    <col min="2" max="2" width="24" customWidth="1"/>
    <col min="3" max="3" width="24" customWidth="1"/>
    <col min="4" max="4" width="22" customWidth="1"/>
    <col min="5" max="5" width="52" customWidth="1"/>
    <col min="6" max="6" width="44" customWidth="1"/>
    <col min="7" max="7" width="42" customWidth="1"/>
    <col min="8" max="8" width="42" customWidth="1"/>
    <col min="9" max="9" width="64" customWidth="1"/>
  </cols>
  <sheetData>
    <row r="1">
      <c r="A1" t="inlineStr">
        <is>
          <t>Queue</t>
        </is>
      </c>
      <c r="B1" t="inlineStr">
        <is>
          <t>Country / region</t>
        </is>
      </c>
      <c r="C1" t="inlineStr">
        <is>
          <t>Localization</t>
        </is>
      </c>
      <c r="D1" t="inlineStr">
        <is>
          <t>Launch status</t>
        </is>
      </c>
      <c r="E1" t="inlineStr">
        <is>
          <t>Main launch gates</t>
        </is>
      </c>
      <c r="F1" t="inlineStr">
        <is>
          <t>Digital / market signal</t>
        </is>
      </c>
      <c r="G1" t="inlineStr">
        <is>
          <t>Crypto / payment signal</t>
        </is>
      </c>
      <c r="H1" t="inlineStr">
        <is>
          <t>Primary GTM channels</t>
        </is>
      </c>
      <c r="I1" t="inlineStr">
        <is>
          <t>Source / note</t>
        </is>
      </c>
    </row>
    <row r="2">
      <c r="A2" t="inlineStr">
        <is>
          <t>1</t>
        </is>
      </c>
      <c r="B2" t="inlineStr">
        <is>
          <t>Nigeria</t>
        </is>
      </c>
      <c r="C2" t="inlineStr">
        <is>
          <t>English first</t>
        </is>
      </c>
      <c r="D2" t="inlineStr">
        <is>
          <t>Candidate for first legal analysis</t>
        </is>
      </c>
      <c r="E2" t="inlineStr">
        <is>
          <t>Federal/state betting or lottery classification; crypto payments; AML; advertising; taxes</t>
        </is>
      </c>
      <c r="F2" t="inlineStr">
        <is>
          <t>DataReportal 2025: 107M internet users, 150M mobile connections</t>
        </is>
      </c>
      <c r="G2" t="inlineStr">
        <is>
          <t>Chainalysis 2025: rank 6 global crypto adoption</t>
        </is>
      </c>
      <c r="H2" t="inlineStr">
        <is>
          <t>Football media, Telegram/X, sports influencers, affiliates, crypto communities</t>
        </is>
      </c>
      <c r="I2" t="inlineStr">
        <is>
          <t>https://datareportal.com/reports/digital-2025-nigeria; https://www.chainalysis.com/blog/2025-global-crypto-adoption-index/</t>
        </is>
      </c>
    </row>
    <row r="3">
      <c r="A3" t="inlineStr">
        <is>
          <t>1</t>
        </is>
      </c>
      <c r="B3" t="inlineStr">
        <is>
          <t>Kenya</t>
        </is>
      </c>
      <c r="C3" t="inlineStr">
        <is>
          <t>English + Swahili</t>
        </is>
      </c>
      <c r="D3" t="inlineStr">
        <is>
          <t>Candidate for first legal analysis</t>
        </is>
      </c>
      <c r="E3" t="inlineStr">
        <is>
          <t>GRA licensing; Gambling Control Act 2025; online gambling; advertising; responsible gaming; crypto payments</t>
        </is>
      </c>
      <c r="F3" t="inlineStr">
        <is>
          <t>DataReportal 2025: 27.4M internet users; mobile connections 121% population</t>
        </is>
      </c>
      <c r="G3" t="inlineStr">
        <is>
          <t>Requires country-specific USDC/payment memo</t>
        </is>
      </c>
      <c r="H3" t="inlineStr">
        <is>
          <t>Sports media, mobile-first partners, football communities, compliant influencers</t>
        </is>
      </c>
      <c r="I3" t="inlineStr">
        <is>
          <t>https://datareportal.com/reports/digital-2025-kenya; https://gra.go.ke/about/</t>
        </is>
      </c>
    </row>
    <row r="4">
      <c r="A4" t="inlineStr">
        <is>
          <t>2</t>
        </is>
      </c>
      <c r="B4" t="inlineStr">
        <is>
          <t>Ghana</t>
        </is>
      </c>
      <c r="C4" t="inlineStr">
        <is>
          <t>English</t>
        </is>
      </c>
      <c r="D4" t="inlineStr">
        <is>
          <t>Second-wave candidate</t>
        </is>
      </c>
      <c r="E4" t="inlineStr">
        <is>
          <t>Gaming Commission licensing; AML/CFT; advertising; payment rules; crypto treatment</t>
        </is>
      </c>
      <c r="F4" t="inlineStr">
        <is>
          <t>DataReportal 2025: 24.3M internet users; 69.9% penetration</t>
        </is>
      </c>
      <c r="G4" t="inlineStr">
        <is>
          <t>Requires country-specific crypto/payment memo</t>
        </is>
      </c>
      <c r="H4" t="inlineStr">
        <is>
          <t>Football pages, Facebook/YouTube, sports media, affiliates</t>
        </is>
      </c>
      <c r="I4" t="inlineStr">
        <is>
          <t>https://datareportal.com/reports/digital-2025-ghana; https://www.gamingcommission.gov.gh/</t>
        </is>
      </c>
    </row>
    <row r="5">
      <c r="A5" t="inlineStr">
        <is>
          <t>2</t>
        </is>
      </c>
      <c r="B5" t="inlineStr">
        <is>
          <t>Tanzania</t>
        </is>
      </c>
      <c r="C5" t="inlineStr">
        <is>
          <t>Swahili + English support</t>
        </is>
      </c>
      <c r="D5" t="inlineStr">
        <is>
          <t>Second-wave candidate</t>
        </is>
      </c>
      <c r="E5" t="inlineStr">
        <is>
          <t>Gaming Board licensing; online gaming; payment/KYC; advertising</t>
        </is>
      </c>
      <c r="F5" t="inlineStr">
        <is>
          <t>DataReportal 2025: 79M mobile connections; 20.2M internet users</t>
        </is>
      </c>
      <c r="G5" t="inlineStr">
        <is>
          <t>Requires country-specific crypto/payment memo</t>
        </is>
      </c>
      <c r="H5" t="inlineStr">
        <is>
          <t>Swahili sports communities, local affiliates, football media</t>
        </is>
      </c>
      <c r="I5" t="inlineStr">
        <is>
          <t>https://datareportal.com/reports/digital-2025-tanzania; https://www.gamingboard.go.tz/</t>
        </is>
      </c>
    </row>
    <row r="6">
      <c r="A6" t="inlineStr">
        <is>
          <t>2</t>
        </is>
      </c>
      <c r="B6" t="inlineStr">
        <is>
          <t>Uganda</t>
        </is>
      </c>
      <c r="C6" t="inlineStr">
        <is>
          <t>English</t>
        </is>
      </c>
      <c r="D6" t="inlineStr">
        <is>
          <t>Second-wave candidate</t>
        </is>
      </c>
      <c r="E6" t="inlineStr">
        <is>
          <t>NLGRB licensing; responsible gaming; advertising; payment/KYC</t>
        </is>
      </c>
      <c r="F6" t="inlineStr">
        <is>
          <t>DataReportal 2025: 38.6M mobile connections; 14.2M internet users</t>
        </is>
      </c>
      <c r="G6" t="inlineStr">
        <is>
          <t>Requires country-specific crypto/payment memo</t>
        </is>
      </c>
      <c r="H6" t="inlineStr">
        <is>
          <t>Sports communities, regional affiliates, responsible gaming campaigns</t>
        </is>
      </c>
      <c r="I6" t="inlineStr">
        <is>
          <t>https://datareportal.com/reports/digital-2025-uganda; https://lgrb.go.ug/</t>
        </is>
      </c>
    </row>
    <row r="7">
      <c r="A7" t="inlineStr">
        <is>
          <t>2</t>
        </is>
      </c>
      <c r="B7" t="inlineStr">
        <is>
          <t>Zambia</t>
        </is>
      </c>
      <c r="C7" t="inlineStr">
        <is>
          <t>English</t>
        </is>
      </c>
      <c r="D7" t="inlineStr">
        <is>
          <t>Second-wave candidate</t>
        </is>
      </c>
      <c r="E7" t="inlineStr">
        <is>
          <t>Betting licensing; tax; advertising; crypto payments; AML</t>
        </is>
      </c>
      <c r="F7" t="inlineStr">
        <is>
          <t>DataReportal 2025: 19.9M mobile connections; 7.13M internet users</t>
        </is>
      </c>
      <c r="G7" t="inlineStr">
        <is>
          <t>Requires country-specific crypto/payment memo</t>
        </is>
      </c>
      <c r="H7" t="inlineStr">
        <is>
          <t>Focused partner tests, sports media, low-budget cohorts</t>
        </is>
      </c>
      <c r="I7" t="inlineStr">
        <is>
          <t>https://datareportal.com/reports/digital-2025-zambia</t>
        </is>
      </c>
    </row>
    <row r="8">
      <c r="A8" t="inlineStr">
        <is>
          <t>3 / watchlist</t>
        </is>
      </c>
      <c r="B8" t="inlineStr">
        <is>
          <t>Brazil</t>
        </is>
      </c>
      <c r="C8" t="inlineStr">
        <is>
          <t>Portuguese</t>
        </is>
      </c>
      <c r="D8" t="inlineStr">
        <is>
          <t>Watchlist only</t>
        </is>
      </c>
      <c r="E8" t="inlineStr">
        <is>
          <t>Local authorization; .bet.br; local entity; consumer protection; likely crypto-payment restrictions</t>
        </is>
      </c>
      <c r="F8" t="inlineStr">
        <is>
          <t>Large football/digital market</t>
        </is>
      </c>
      <c r="G8" t="inlineStr">
        <is>
          <t>Chainalysis 2025: rank 5; payment legality must be confirmed</t>
        </is>
      </c>
      <c r="H8" t="inlineStr">
        <is>
          <t>Only after local counsel and payment route</t>
        </is>
      </c>
      <c r="I8" t="inlineStr">
        <is>
          <t>https://www.gov.br/fazenda/pt-br/composicao/orgaos/secretaria-de-premios-e-apostas</t>
        </is>
      </c>
    </row>
    <row r="9">
      <c r="A9" t="inlineStr">
        <is>
          <t>3 / watchlist</t>
        </is>
      </c>
      <c r="B9" t="inlineStr">
        <is>
          <t>Kazakhstan</t>
        </is>
      </c>
      <c r="C9" t="inlineStr">
        <is>
          <t>Russian/Kazakh</t>
        </is>
      </c>
      <c r="D9" t="inlineStr">
        <is>
          <t>Watchlist only</t>
        </is>
      </c>
      <c r="E9" t="inlineStr">
        <is>
          <t>License; payments; server/data requirements; crypto treatment; sanctions/AML</t>
        </is>
      </c>
      <c r="F9" t="inlineStr">
        <is>
          <t>Commercially relevant regional audience</t>
        </is>
      </c>
      <c r="G9" t="inlineStr">
        <is>
          <t>Requires legal/payment memo</t>
        </is>
      </c>
      <c r="H9" t="inlineStr">
        <is>
          <t>Only after local legal clearance</t>
        </is>
      </c>
      <c r="I9" t="inlineStr">
        <is>
          <t>Internal TZ watchlist</t>
        </is>
      </c>
    </row>
    <row r="10">
      <c r="A10" t="inlineStr">
        <is>
          <t>3 / watchlist</t>
        </is>
      </c>
      <c r="B10" t="inlineStr">
        <is>
          <t>Uzbekistan</t>
        </is>
      </c>
      <c r="C10" t="inlineStr">
        <is>
          <t>Uzbek/Russian</t>
        </is>
      </c>
      <c r="D10" t="inlineStr">
        <is>
          <t>Watchlist only</t>
        </is>
      </c>
      <c r="E10" t="inlineStr">
        <is>
          <t>Gambling/payment/ads/KYC uncertainty</t>
        </is>
      </c>
      <c r="F10" t="inlineStr">
        <is>
          <t>Potential Central Asia market</t>
        </is>
      </c>
      <c r="G10" t="inlineStr">
        <is>
          <t>Requires legal/payment memo</t>
        </is>
      </c>
      <c r="H10" t="inlineStr">
        <is>
          <t>Only after explicit legal route</t>
        </is>
      </c>
      <c r="I10" t="inlineStr">
        <is>
          <t>Internal TZ watchlist</t>
        </is>
      </c>
    </row>
    <row r="11">
      <c r="A11" t="inlineStr">
        <is>
          <t>3 / watchlist</t>
        </is>
      </c>
      <c r="B11" t="inlineStr">
        <is>
          <t>South Africa</t>
        </is>
      </c>
      <c r="C11" t="inlineStr">
        <is>
          <t>English</t>
        </is>
      </c>
      <c r="D11" t="inlineStr">
        <is>
          <t>Watchlist only</t>
        </is>
      </c>
      <c r="E11" t="inlineStr">
        <is>
          <t>Provincial betting license; online restrictions; crypto payment uncertainty</t>
        </is>
      </c>
      <c r="F11" t="inlineStr">
        <is>
          <t>Commercially attractive but complex</t>
        </is>
      </c>
      <c r="G11" t="inlineStr">
        <is>
          <t>Requires payment and license memo</t>
        </is>
      </c>
      <c r="H11" t="inlineStr">
        <is>
          <t>Only with local licensing route</t>
        </is>
      </c>
      <c r="I11" t="inlineStr">
        <is>
          <t>Internal TZ watchlist</t>
        </is>
      </c>
    </row>
    <row r="12">
      <c r="A12" t="inlineStr">
        <is>
          <t>3 / watchlist</t>
        </is>
      </c>
      <c r="B12" t="inlineStr">
        <is>
          <t>Vietnam</t>
        </is>
      </c>
      <c r="C12" t="inlineStr">
        <is>
          <t>Vietnamese</t>
        </is>
      </c>
      <c r="D12" t="inlineStr">
        <is>
          <t>Watchlist only</t>
        </is>
      </c>
      <c r="E12" t="inlineStr">
        <is>
          <t>Gambling restrictions for residents; advertising; payments</t>
        </is>
      </c>
      <c r="F12" t="inlineStr">
        <is>
          <t>High digital/crypto interest but high legal risk</t>
        </is>
      </c>
      <c r="G12" t="inlineStr">
        <is>
          <t>Requires explicit legal route</t>
        </is>
      </c>
      <c r="H12" t="inlineStr">
        <is>
          <t>Do not target before legal clearance</t>
        </is>
      </c>
      <c r="I12" t="inlineStr">
        <is>
          <t>Internal TZ watchlist</t>
        </is>
      </c>
    </row>
    <row r="13">
      <c r="A13" t="inlineStr">
        <is>
          <t>3 / watchlist</t>
        </is>
      </c>
      <c r="B13" t="inlineStr">
        <is>
          <t>Philippines</t>
        </is>
      </c>
      <c r="C13" t="inlineStr">
        <is>
          <t>English/Filipino</t>
        </is>
      </c>
      <c r="D13" t="inlineStr">
        <is>
          <t>Watchlist only</t>
        </is>
      </c>
      <c r="E13" t="inlineStr">
        <is>
          <t>Post-POGO/IGL reputational and licensing risk; local law</t>
        </is>
      </c>
      <c r="F13" t="inlineStr">
        <is>
          <t>Gaming infrastructure history</t>
        </is>
      </c>
      <c r="G13" t="inlineStr">
        <is>
          <t>Requires reputational/legal review</t>
        </is>
      </c>
      <c r="H13" t="inlineStr">
        <is>
          <t>Do not treat as core launch</t>
        </is>
      </c>
      <c r="I13" t="inlineStr">
        <is>
          <t>Internal TZ watchlist</t>
        </is>
      </c>
    </row>
    <row r="14">
      <c r="A14" t="inlineStr">
        <is>
          <t>Red zone</t>
        </is>
      </c>
      <c r="B14" t="inlineStr">
        <is>
          <t>US, Canada, UK, EU/EEA, Australia, India, Indonesia, China, Russia/Belarus, Turkey, Gulf restricted markets, sanctions territories</t>
        </is>
      </c>
      <c r="C14" t="inlineStr">
        <is>
          <t>N/A</t>
        </is>
      </c>
      <c r="D14" t="inlineStr">
        <is>
          <t>Blocked for MVP</t>
        </is>
      </c>
      <c r="E14" t="inlineStr">
        <is>
          <t>No targeting or purchase permit without separate license/approval</t>
        </is>
      </c>
      <c r="F14" t="inlineStr">
        <is>
          <t>High regulatory/sanctions/advertising risk</t>
        </is>
      </c>
      <c r="G14" t="inlineStr">
        <is>
          <t>Not eligible for MVP</t>
        </is>
      </c>
      <c r="H14" t="inlineStr">
        <is>
          <t>No marketing</t>
        </is>
      </c>
      <c r="I14" t="inlineStr">
        <is>
          <t>Internal TZ red zone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cols>
    <col min="1" max="1" width="10" customWidth="1"/>
    <col min="2" max="2" width="16" customWidth="1"/>
    <col min="3" max="3" width="16" customWidth="1"/>
    <col min="4" max="4" width="16" customWidth="1"/>
    <col min="5" max="5" width="16" customWidth="1"/>
    <col min="6" max="6" width="18" customWidth="1"/>
    <col min="7" max="7" width="16" customWidth="1"/>
    <col min="8" max="8" width="16" customWidth="1"/>
    <col min="9" max="9" width="16" customWidth="1"/>
    <col min="10" max="10" width="20" customWidth="1"/>
  </cols>
  <sheetData>
    <row r="1">
      <c r="A1" t="inlineStr">
        <is>
          <t>Month</t>
        </is>
      </c>
      <c r="B1" t="inlineStr">
        <is>
          <t>Scenario</t>
        </is>
      </c>
      <c r="C1" t="inlineStr">
        <is>
          <t>Countries active</t>
        </is>
      </c>
      <c r="D1" t="inlineStr">
        <is>
          <t>Visits</t>
        </is>
      </c>
      <c r="E1" t="inlineStr">
        <is>
          <t>Eligible users</t>
        </is>
      </c>
      <c r="F1" t="inlineStr">
        <is>
          <t>Wallet connected</t>
        </is>
      </c>
      <c r="G1" t="inlineStr">
        <is>
          <t>USDC ready</t>
        </is>
      </c>
      <c r="H1" t="inlineStr">
        <is>
          <t>First buyers</t>
        </is>
      </c>
      <c r="I1" t="inlineStr">
        <is>
          <t>Repeat buyers</t>
        </is>
      </c>
      <c r="J1" t="inlineStr">
        <is>
          <t>Active paying users</t>
        </is>
      </c>
    </row>
    <row r="2">
      <c r="A2">
        <v>1</v>
      </c>
      <c r="B2" t="inlineStr">
        <is>
          <t>Conservative</t>
        </is>
      </c>
      <c r="C2">
        <f>IF(A2&lt;7,1,IF(A2&lt;13,2,IF(A2&lt;24,3,4)))</f>
      </c>
      <c r="D2">
        <f>INDEX(Assumptions!$C:$E,MATCH("Starting monthly visits",Assumptions!$B:$B,0),MATCH(B2,Assumptions!$C$3:$E$3,0))*POWER(1+INDEX(Assumptions!$C:$E,MATCH("Monthly visit growth",Assumptions!$B:$B,0),MATCH(B2,Assumptions!$C$3:$E$3,0)),A2-1)*C2</f>
      </c>
      <c r="E2">
        <f>D2*INDEX(Assumptions!$C:$E,MATCH("Eligible user rate after geo/compliance",Assumptions!$B:$B,0),MATCH(B2,Assumptions!$C$3:$E$3,0))</f>
      </c>
      <c r="F2">
        <f>E2*INDEX(Assumptions!$C:$E,MATCH("Wallet connect rate",Assumptions!$B:$B,0),MATCH(B2,Assumptions!$C$3:$E$3,0))</f>
      </c>
      <c r="G2">
        <f>F2*INDEX(Assumptions!$C:$E,MATCH("USDC readiness rate",Assumptions!$B:$B,0),MATCH(B2,Assumptions!$C$3:$E$3,0))</f>
      </c>
      <c r="H2">
        <f>G2*INDEX(Assumptions!$C:$E,MATCH("First purchase conversion",Assumptions!$B:$B,0),MATCH(B2,Assumptions!$C$3:$E$3,0))</f>
      </c>
      <c r="I2">
        <f>0*INDEX(Assumptions!$C:$E,MATCH("Repeat purchase rate",Assumptions!$B:$B,0),MATCH(B2,Assumptions!$C$3:$E$3,0))</f>
      </c>
      <c r="J2">
        <f>H2+I2</f>
      </c>
    </row>
    <row r="3">
      <c r="A3">
        <v>2</v>
      </c>
      <c r="B3" t="inlineStr">
        <is>
          <t>Conservative</t>
        </is>
      </c>
      <c r="C3">
        <f>IF(A3&lt;7,1,IF(A3&lt;13,2,IF(A3&lt;24,3,4)))</f>
      </c>
      <c r="D3">
        <f>INDEX(Assumptions!$C:$E,MATCH("Starting monthly visits",Assumptions!$B:$B,0),MATCH(B3,Assumptions!$C$3:$E$3,0))*POWER(1+INDEX(Assumptions!$C:$E,MATCH("Monthly visit growth",Assumptions!$B:$B,0),MATCH(B3,Assumptions!$C$3:$E$3,0)),A3-1)*C3</f>
      </c>
      <c r="E3">
        <f>D3*INDEX(Assumptions!$C:$E,MATCH("Eligible user rate after geo/compliance",Assumptions!$B:$B,0),MATCH(B3,Assumptions!$C$3:$E$3,0))</f>
      </c>
      <c r="F3">
        <f>E3*INDEX(Assumptions!$C:$E,MATCH("Wallet connect rate",Assumptions!$B:$B,0),MATCH(B3,Assumptions!$C$3:$E$3,0))</f>
      </c>
      <c r="G3">
        <f>F3*INDEX(Assumptions!$C:$E,MATCH("USDC readiness rate",Assumptions!$B:$B,0),MATCH(B3,Assumptions!$C$3:$E$3,0))</f>
      </c>
      <c r="H3">
        <f>G3*INDEX(Assumptions!$C:$E,MATCH("First purchase conversion",Assumptions!$B:$B,0),MATCH(B3,Assumptions!$C$3:$E$3,0))</f>
      </c>
      <c r="I3">
        <f>J2*INDEX(Assumptions!$C:$E,MATCH("Repeat purchase rate",Assumptions!$B:$B,0),MATCH(B3,Assumptions!$C$3:$E$3,0))</f>
      </c>
      <c r="J3">
        <f>H3+I3</f>
      </c>
    </row>
    <row r="4">
      <c r="A4">
        <v>3</v>
      </c>
      <c r="B4" t="inlineStr">
        <is>
          <t>Conservative</t>
        </is>
      </c>
      <c r="C4">
        <f>IF(A4&lt;7,1,IF(A4&lt;13,2,IF(A4&lt;24,3,4)))</f>
      </c>
      <c r="D4">
        <f>INDEX(Assumptions!$C:$E,MATCH("Starting monthly visits",Assumptions!$B:$B,0),MATCH(B4,Assumptions!$C$3:$E$3,0))*POWER(1+INDEX(Assumptions!$C:$E,MATCH("Monthly visit growth",Assumptions!$B:$B,0),MATCH(B4,Assumptions!$C$3:$E$3,0)),A4-1)*C4</f>
      </c>
      <c r="E4">
        <f>D4*INDEX(Assumptions!$C:$E,MATCH("Eligible user rate after geo/compliance",Assumptions!$B:$B,0),MATCH(B4,Assumptions!$C$3:$E$3,0))</f>
      </c>
      <c r="F4">
        <f>E4*INDEX(Assumptions!$C:$E,MATCH("Wallet connect rate",Assumptions!$B:$B,0),MATCH(B4,Assumptions!$C$3:$E$3,0))</f>
      </c>
      <c r="G4">
        <f>F4*INDEX(Assumptions!$C:$E,MATCH("USDC readiness rate",Assumptions!$B:$B,0),MATCH(B4,Assumptions!$C$3:$E$3,0))</f>
      </c>
      <c r="H4">
        <f>G4*INDEX(Assumptions!$C:$E,MATCH("First purchase conversion",Assumptions!$B:$B,0),MATCH(B4,Assumptions!$C$3:$E$3,0))</f>
      </c>
      <c r="I4">
        <f>J3*INDEX(Assumptions!$C:$E,MATCH("Repeat purchase rate",Assumptions!$B:$B,0),MATCH(B4,Assumptions!$C$3:$E$3,0))</f>
      </c>
      <c r="J4">
        <f>H4+I4</f>
      </c>
    </row>
    <row r="5">
      <c r="A5">
        <v>4</v>
      </c>
      <c r="B5" t="inlineStr">
        <is>
          <t>Conservative</t>
        </is>
      </c>
      <c r="C5">
        <f>IF(A5&lt;7,1,IF(A5&lt;13,2,IF(A5&lt;24,3,4)))</f>
      </c>
      <c r="D5">
        <f>INDEX(Assumptions!$C:$E,MATCH("Starting monthly visits",Assumptions!$B:$B,0),MATCH(B5,Assumptions!$C$3:$E$3,0))*POWER(1+INDEX(Assumptions!$C:$E,MATCH("Monthly visit growth",Assumptions!$B:$B,0),MATCH(B5,Assumptions!$C$3:$E$3,0)),A5-1)*C5</f>
      </c>
      <c r="E5">
        <f>D5*INDEX(Assumptions!$C:$E,MATCH("Eligible user rate after geo/compliance",Assumptions!$B:$B,0),MATCH(B5,Assumptions!$C$3:$E$3,0))</f>
      </c>
      <c r="F5">
        <f>E5*INDEX(Assumptions!$C:$E,MATCH("Wallet connect rate",Assumptions!$B:$B,0),MATCH(B5,Assumptions!$C$3:$E$3,0))</f>
      </c>
      <c r="G5">
        <f>F5*INDEX(Assumptions!$C:$E,MATCH("USDC readiness rate",Assumptions!$B:$B,0),MATCH(B5,Assumptions!$C$3:$E$3,0))</f>
      </c>
      <c r="H5">
        <f>G5*INDEX(Assumptions!$C:$E,MATCH("First purchase conversion",Assumptions!$B:$B,0),MATCH(B5,Assumptions!$C$3:$E$3,0))</f>
      </c>
      <c r="I5">
        <f>J4*INDEX(Assumptions!$C:$E,MATCH("Repeat purchase rate",Assumptions!$B:$B,0),MATCH(B5,Assumptions!$C$3:$E$3,0))</f>
      </c>
      <c r="J5">
        <f>H5+I5</f>
      </c>
    </row>
    <row r="6">
      <c r="A6">
        <v>5</v>
      </c>
      <c r="B6" t="inlineStr">
        <is>
          <t>Conservative</t>
        </is>
      </c>
      <c r="C6">
        <f>IF(A6&lt;7,1,IF(A6&lt;13,2,IF(A6&lt;24,3,4)))</f>
      </c>
      <c r="D6">
        <f>INDEX(Assumptions!$C:$E,MATCH("Starting monthly visits",Assumptions!$B:$B,0),MATCH(B6,Assumptions!$C$3:$E$3,0))*POWER(1+INDEX(Assumptions!$C:$E,MATCH("Monthly visit growth",Assumptions!$B:$B,0),MATCH(B6,Assumptions!$C$3:$E$3,0)),A6-1)*C6</f>
      </c>
      <c r="E6">
        <f>D6*INDEX(Assumptions!$C:$E,MATCH("Eligible user rate after geo/compliance",Assumptions!$B:$B,0),MATCH(B6,Assumptions!$C$3:$E$3,0))</f>
      </c>
      <c r="F6">
        <f>E6*INDEX(Assumptions!$C:$E,MATCH("Wallet connect rate",Assumptions!$B:$B,0),MATCH(B6,Assumptions!$C$3:$E$3,0))</f>
      </c>
      <c r="G6">
        <f>F6*INDEX(Assumptions!$C:$E,MATCH("USDC readiness rate",Assumptions!$B:$B,0),MATCH(B6,Assumptions!$C$3:$E$3,0))</f>
      </c>
      <c r="H6">
        <f>G6*INDEX(Assumptions!$C:$E,MATCH("First purchase conversion",Assumptions!$B:$B,0),MATCH(B6,Assumptions!$C$3:$E$3,0))</f>
      </c>
      <c r="I6">
        <f>J5*INDEX(Assumptions!$C:$E,MATCH("Repeat purchase rate",Assumptions!$B:$B,0),MATCH(B6,Assumptions!$C$3:$E$3,0))</f>
      </c>
      <c r="J6">
        <f>H6+I6</f>
      </c>
    </row>
    <row r="7">
      <c r="A7">
        <v>6</v>
      </c>
      <c r="B7" t="inlineStr">
        <is>
          <t>Conservative</t>
        </is>
      </c>
      <c r="C7">
        <f>IF(A7&lt;7,1,IF(A7&lt;13,2,IF(A7&lt;24,3,4)))</f>
      </c>
      <c r="D7">
        <f>INDEX(Assumptions!$C:$E,MATCH("Starting monthly visits",Assumptions!$B:$B,0),MATCH(B7,Assumptions!$C$3:$E$3,0))*POWER(1+INDEX(Assumptions!$C:$E,MATCH("Monthly visit growth",Assumptions!$B:$B,0),MATCH(B7,Assumptions!$C$3:$E$3,0)),A7-1)*C7</f>
      </c>
      <c r="E7">
        <f>D7*INDEX(Assumptions!$C:$E,MATCH("Eligible user rate after geo/compliance",Assumptions!$B:$B,0),MATCH(B7,Assumptions!$C$3:$E$3,0))</f>
      </c>
      <c r="F7">
        <f>E7*INDEX(Assumptions!$C:$E,MATCH("Wallet connect rate",Assumptions!$B:$B,0),MATCH(B7,Assumptions!$C$3:$E$3,0))</f>
      </c>
      <c r="G7">
        <f>F7*INDEX(Assumptions!$C:$E,MATCH("USDC readiness rate",Assumptions!$B:$B,0),MATCH(B7,Assumptions!$C$3:$E$3,0))</f>
      </c>
      <c r="H7">
        <f>G7*INDEX(Assumptions!$C:$E,MATCH("First purchase conversion",Assumptions!$B:$B,0),MATCH(B7,Assumptions!$C$3:$E$3,0))</f>
      </c>
      <c r="I7">
        <f>J6*INDEX(Assumptions!$C:$E,MATCH("Repeat purchase rate",Assumptions!$B:$B,0),MATCH(B7,Assumptions!$C$3:$E$3,0))</f>
      </c>
      <c r="J7">
        <f>H7+I7</f>
      </c>
    </row>
    <row r="8">
      <c r="A8">
        <v>7</v>
      </c>
      <c r="B8" t="inlineStr">
        <is>
          <t>Conservative</t>
        </is>
      </c>
      <c r="C8">
        <f>IF(A8&lt;7,1,IF(A8&lt;13,2,IF(A8&lt;24,3,4)))</f>
      </c>
      <c r="D8">
        <f>INDEX(Assumptions!$C:$E,MATCH("Starting monthly visits",Assumptions!$B:$B,0),MATCH(B8,Assumptions!$C$3:$E$3,0))*POWER(1+INDEX(Assumptions!$C:$E,MATCH("Monthly visit growth",Assumptions!$B:$B,0),MATCH(B8,Assumptions!$C$3:$E$3,0)),A8-1)*C8</f>
      </c>
      <c r="E8">
        <f>D8*INDEX(Assumptions!$C:$E,MATCH("Eligible user rate after geo/compliance",Assumptions!$B:$B,0),MATCH(B8,Assumptions!$C$3:$E$3,0))</f>
      </c>
      <c r="F8">
        <f>E8*INDEX(Assumptions!$C:$E,MATCH("Wallet connect rate",Assumptions!$B:$B,0),MATCH(B8,Assumptions!$C$3:$E$3,0))</f>
      </c>
      <c r="G8">
        <f>F8*INDEX(Assumptions!$C:$E,MATCH("USDC readiness rate",Assumptions!$B:$B,0),MATCH(B8,Assumptions!$C$3:$E$3,0))</f>
      </c>
      <c r="H8">
        <f>G8*INDEX(Assumptions!$C:$E,MATCH("First purchase conversion",Assumptions!$B:$B,0),MATCH(B8,Assumptions!$C$3:$E$3,0))</f>
      </c>
      <c r="I8">
        <f>J7*INDEX(Assumptions!$C:$E,MATCH("Repeat purchase rate",Assumptions!$B:$B,0),MATCH(B8,Assumptions!$C$3:$E$3,0))</f>
      </c>
      <c r="J8">
        <f>H8+I8</f>
      </c>
    </row>
    <row r="9">
      <c r="A9">
        <v>8</v>
      </c>
      <c r="B9" t="inlineStr">
        <is>
          <t>Conservative</t>
        </is>
      </c>
      <c r="C9">
        <f>IF(A9&lt;7,1,IF(A9&lt;13,2,IF(A9&lt;24,3,4)))</f>
      </c>
      <c r="D9">
        <f>INDEX(Assumptions!$C:$E,MATCH("Starting monthly visits",Assumptions!$B:$B,0),MATCH(B9,Assumptions!$C$3:$E$3,0))*POWER(1+INDEX(Assumptions!$C:$E,MATCH("Monthly visit growth",Assumptions!$B:$B,0),MATCH(B9,Assumptions!$C$3:$E$3,0)),A9-1)*C9</f>
      </c>
      <c r="E9">
        <f>D9*INDEX(Assumptions!$C:$E,MATCH("Eligible user rate after geo/compliance",Assumptions!$B:$B,0),MATCH(B9,Assumptions!$C$3:$E$3,0))</f>
      </c>
      <c r="F9">
        <f>E9*INDEX(Assumptions!$C:$E,MATCH("Wallet connect rate",Assumptions!$B:$B,0),MATCH(B9,Assumptions!$C$3:$E$3,0))</f>
      </c>
      <c r="G9">
        <f>F9*INDEX(Assumptions!$C:$E,MATCH("USDC readiness rate",Assumptions!$B:$B,0),MATCH(B9,Assumptions!$C$3:$E$3,0))</f>
      </c>
      <c r="H9">
        <f>G9*INDEX(Assumptions!$C:$E,MATCH("First purchase conversion",Assumptions!$B:$B,0),MATCH(B9,Assumptions!$C$3:$E$3,0))</f>
      </c>
      <c r="I9">
        <f>J8*INDEX(Assumptions!$C:$E,MATCH("Repeat purchase rate",Assumptions!$B:$B,0),MATCH(B9,Assumptions!$C$3:$E$3,0))</f>
      </c>
      <c r="J9">
        <f>H9+I9</f>
      </c>
    </row>
    <row r="10">
      <c r="A10">
        <v>9</v>
      </c>
      <c r="B10" t="inlineStr">
        <is>
          <t>Conservative</t>
        </is>
      </c>
      <c r="C10">
        <f>IF(A10&lt;7,1,IF(A10&lt;13,2,IF(A10&lt;24,3,4)))</f>
      </c>
      <c r="D10">
        <f>INDEX(Assumptions!$C:$E,MATCH("Starting monthly visits",Assumptions!$B:$B,0),MATCH(B10,Assumptions!$C$3:$E$3,0))*POWER(1+INDEX(Assumptions!$C:$E,MATCH("Monthly visit growth",Assumptions!$B:$B,0),MATCH(B10,Assumptions!$C$3:$E$3,0)),A10-1)*C10</f>
      </c>
      <c r="E10">
        <f>D10*INDEX(Assumptions!$C:$E,MATCH("Eligible user rate after geo/compliance",Assumptions!$B:$B,0),MATCH(B10,Assumptions!$C$3:$E$3,0))</f>
      </c>
      <c r="F10">
        <f>E10*INDEX(Assumptions!$C:$E,MATCH("Wallet connect rate",Assumptions!$B:$B,0),MATCH(B10,Assumptions!$C$3:$E$3,0))</f>
      </c>
      <c r="G10">
        <f>F10*INDEX(Assumptions!$C:$E,MATCH("USDC readiness rate",Assumptions!$B:$B,0),MATCH(B10,Assumptions!$C$3:$E$3,0))</f>
      </c>
      <c r="H10">
        <f>G10*INDEX(Assumptions!$C:$E,MATCH("First purchase conversion",Assumptions!$B:$B,0),MATCH(B10,Assumptions!$C$3:$E$3,0))</f>
      </c>
      <c r="I10">
        <f>J9*INDEX(Assumptions!$C:$E,MATCH("Repeat purchase rate",Assumptions!$B:$B,0),MATCH(B10,Assumptions!$C$3:$E$3,0))</f>
      </c>
      <c r="J10">
        <f>H10+I10</f>
      </c>
    </row>
    <row r="11">
      <c r="A11">
        <v>10</v>
      </c>
      <c r="B11" t="inlineStr">
        <is>
          <t>Conservative</t>
        </is>
      </c>
      <c r="C11">
        <f>IF(A11&lt;7,1,IF(A11&lt;13,2,IF(A11&lt;24,3,4)))</f>
      </c>
      <c r="D11">
        <f>INDEX(Assumptions!$C:$E,MATCH("Starting monthly visits",Assumptions!$B:$B,0),MATCH(B11,Assumptions!$C$3:$E$3,0))*POWER(1+INDEX(Assumptions!$C:$E,MATCH("Monthly visit growth",Assumptions!$B:$B,0),MATCH(B11,Assumptions!$C$3:$E$3,0)),A11-1)*C11</f>
      </c>
      <c r="E11">
        <f>D11*INDEX(Assumptions!$C:$E,MATCH("Eligible user rate after geo/compliance",Assumptions!$B:$B,0),MATCH(B11,Assumptions!$C$3:$E$3,0))</f>
      </c>
      <c r="F11">
        <f>E11*INDEX(Assumptions!$C:$E,MATCH("Wallet connect rate",Assumptions!$B:$B,0),MATCH(B11,Assumptions!$C$3:$E$3,0))</f>
      </c>
      <c r="G11">
        <f>F11*INDEX(Assumptions!$C:$E,MATCH("USDC readiness rate",Assumptions!$B:$B,0),MATCH(B11,Assumptions!$C$3:$E$3,0))</f>
      </c>
      <c r="H11">
        <f>G11*INDEX(Assumptions!$C:$E,MATCH("First purchase conversion",Assumptions!$B:$B,0),MATCH(B11,Assumptions!$C$3:$E$3,0))</f>
      </c>
      <c r="I11">
        <f>J10*INDEX(Assumptions!$C:$E,MATCH("Repeat purchase rate",Assumptions!$B:$B,0),MATCH(B11,Assumptions!$C$3:$E$3,0))</f>
      </c>
      <c r="J11">
        <f>H11+I11</f>
      </c>
    </row>
    <row r="12">
      <c r="A12">
        <v>11</v>
      </c>
      <c r="B12" t="inlineStr">
        <is>
          <t>Conservative</t>
        </is>
      </c>
      <c r="C12">
        <f>IF(A12&lt;7,1,IF(A12&lt;13,2,IF(A12&lt;24,3,4)))</f>
      </c>
      <c r="D12">
        <f>INDEX(Assumptions!$C:$E,MATCH("Starting monthly visits",Assumptions!$B:$B,0),MATCH(B12,Assumptions!$C$3:$E$3,0))*POWER(1+INDEX(Assumptions!$C:$E,MATCH("Monthly visit growth",Assumptions!$B:$B,0),MATCH(B12,Assumptions!$C$3:$E$3,0)),A12-1)*C12</f>
      </c>
      <c r="E12">
        <f>D12*INDEX(Assumptions!$C:$E,MATCH("Eligible user rate after geo/compliance",Assumptions!$B:$B,0),MATCH(B12,Assumptions!$C$3:$E$3,0))</f>
      </c>
      <c r="F12">
        <f>E12*INDEX(Assumptions!$C:$E,MATCH("Wallet connect rate",Assumptions!$B:$B,0),MATCH(B12,Assumptions!$C$3:$E$3,0))</f>
      </c>
      <c r="G12">
        <f>F12*INDEX(Assumptions!$C:$E,MATCH("USDC readiness rate",Assumptions!$B:$B,0),MATCH(B12,Assumptions!$C$3:$E$3,0))</f>
      </c>
      <c r="H12">
        <f>G12*INDEX(Assumptions!$C:$E,MATCH("First purchase conversion",Assumptions!$B:$B,0),MATCH(B12,Assumptions!$C$3:$E$3,0))</f>
      </c>
      <c r="I12">
        <f>J11*INDEX(Assumptions!$C:$E,MATCH("Repeat purchase rate",Assumptions!$B:$B,0),MATCH(B12,Assumptions!$C$3:$E$3,0))</f>
      </c>
      <c r="J12">
        <f>H12+I12</f>
      </c>
    </row>
    <row r="13">
      <c r="A13">
        <v>12</v>
      </c>
      <c r="B13" t="inlineStr">
        <is>
          <t>Conservative</t>
        </is>
      </c>
      <c r="C13">
        <f>IF(A13&lt;7,1,IF(A13&lt;13,2,IF(A13&lt;24,3,4)))</f>
      </c>
      <c r="D13">
        <f>INDEX(Assumptions!$C:$E,MATCH("Starting monthly visits",Assumptions!$B:$B,0),MATCH(B13,Assumptions!$C$3:$E$3,0))*POWER(1+INDEX(Assumptions!$C:$E,MATCH("Monthly visit growth",Assumptions!$B:$B,0),MATCH(B13,Assumptions!$C$3:$E$3,0)),A13-1)*C13</f>
      </c>
      <c r="E13">
        <f>D13*INDEX(Assumptions!$C:$E,MATCH("Eligible user rate after geo/compliance",Assumptions!$B:$B,0),MATCH(B13,Assumptions!$C$3:$E$3,0))</f>
      </c>
      <c r="F13">
        <f>E13*INDEX(Assumptions!$C:$E,MATCH("Wallet connect rate",Assumptions!$B:$B,0),MATCH(B13,Assumptions!$C$3:$E$3,0))</f>
      </c>
      <c r="G13">
        <f>F13*INDEX(Assumptions!$C:$E,MATCH("USDC readiness rate",Assumptions!$B:$B,0),MATCH(B13,Assumptions!$C$3:$E$3,0))</f>
      </c>
      <c r="H13">
        <f>G13*INDEX(Assumptions!$C:$E,MATCH("First purchase conversion",Assumptions!$B:$B,0),MATCH(B13,Assumptions!$C$3:$E$3,0))</f>
      </c>
      <c r="I13">
        <f>J12*INDEX(Assumptions!$C:$E,MATCH("Repeat purchase rate",Assumptions!$B:$B,0),MATCH(B13,Assumptions!$C$3:$E$3,0))</f>
      </c>
      <c r="J13">
        <f>H13+I13</f>
      </c>
    </row>
    <row r="14">
      <c r="A14">
        <v>13</v>
      </c>
      <c r="B14" t="inlineStr">
        <is>
          <t>Conservative</t>
        </is>
      </c>
      <c r="C14">
        <f>IF(A14&lt;7,1,IF(A14&lt;13,2,IF(A14&lt;24,3,4)))</f>
      </c>
      <c r="D14">
        <f>INDEX(Assumptions!$C:$E,MATCH("Starting monthly visits",Assumptions!$B:$B,0),MATCH(B14,Assumptions!$C$3:$E$3,0))*POWER(1+INDEX(Assumptions!$C:$E,MATCH("Monthly visit growth",Assumptions!$B:$B,0),MATCH(B14,Assumptions!$C$3:$E$3,0)),A14-1)*C14</f>
      </c>
      <c r="E14">
        <f>D14*INDEX(Assumptions!$C:$E,MATCH("Eligible user rate after geo/compliance",Assumptions!$B:$B,0),MATCH(B14,Assumptions!$C$3:$E$3,0))</f>
      </c>
      <c r="F14">
        <f>E14*INDEX(Assumptions!$C:$E,MATCH("Wallet connect rate",Assumptions!$B:$B,0),MATCH(B14,Assumptions!$C$3:$E$3,0))</f>
      </c>
      <c r="G14">
        <f>F14*INDEX(Assumptions!$C:$E,MATCH("USDC readiness rate",Assumptions!$B:$B,0),MATCH(B14,Assumptions!$C$3:$E$3,0))</f>
      </c>
      <c r="H14">
        <f>G14*INDEX(Assumptions!$C:$E,MATCH("First purchase conversion",Assumptions!$B:$B,0),MATCH(B14,Assumptions!$C$3:$E$3,0))</f>
      </c>
      <c r="I14">
        <f>J13*INDEX(Assumptions!$C:$E,MATCH("Repeat purchase rate",Assumptions!$B:$B,0),MATCH(B14,Assumptions!$C$3:$E$3,0))</f>
      </c>
      <c r="J14">
        <f>H14+I14</f>
      </c>
    </row>
    <row r="15">
      <c r="A15">
        <v>14</v>
      </c>
      <c r="B15" t="inlineStr">
        <is>
          <t>Conservative</t>
        </is>
      </c>
      <c r="C15">
        <f>IF(A15&lt;7,1,IF(A15&lt;13,2,IF(A15&lt;24,3,4)))</f>
      </c>
      <c r="D15">
        <f>INDEX(Assumptions!$C:$E,MATCH("Starting monthly visits",Assumptions!$B:$B,0),MATCH(B15,Assumptions!$C$3:$E$3,0))*POWER(1+INDEX(Assumptions!$C:$E,MATCH("Monthly visit growth",Assumptions!$B:$B,0),MATCH(B15,Assumptions!$C$3:$E$3,0)),A15-1)*C15</f>
      </c>
      <c r="E15">
        <f>D15*INDEX(Assumptions!$C:$E,MATCH("Eligible user rate after geo/compliance",Assumptions!$B:$B,0),MATCH(B15,Assumptions!$C$3:$E$3,0))</f>
      </c>
      <c r="F15">
        <f>E15*INDEX(Assumptions!$C:$E,MATCH("Wallet connect rate",Assumptions!$B:$B,0),MATCH(B15,Assumptions!$C$3:$E$3,0))</f>
      </c>
      <c r="G15">
        <f>F15*INDEX(Assumptions!$C:$E,MATCH("USDC readiness rate",Assumptions!$B:$B,0),MATCH(B15,Assumptions!$C$3:$E$3,0))</f>
      </c>
      <c r="H15">
        <f>G15*INDEX(Assumptions!$C:$E,MATCH("First purchase conversion",Assumptions!$B:$B,0),MATCH(B15,Assumptions!$C$3:$E$3,0))</f>
      </c>
      <c r="I15">
        <f>J14*INDEX(Assumptions!$C:$E,MATCH("Repeat purchase rate",Assumptions!$B:$B,0),MATCH(B15,Assumptions!$C$3:$E$3,0))</f>
      </c>
      <c r="J15">
        <f>H15+I15</f>
      </c>
    </row>
    <row r="16">
      <c r="A16">
        <v>15</v>
      </c>
      <c r="B16" t="inlineStr">
        <is>
          <t>Conservative</t>
        </is>
      </c>
      <c r="C16">
        <f>IF(A16&lt;7,1,IF(A16&lt;13,2,IF(A16&lt;24,3,4)))</f>
      </c>
      <c r="D16">
        <f>INDEX(Assumptions!$C:$E,MATCH("Starting monthly visits",Assumptions!$B:$B,0),MATCH(B16,Assumptions!$C$3:$E$3,0))*POWER(1+INDEX(Assumptions!$C:$E,MATCH("Monthly visit growth",Assumptions!$B:$B,0),MATCH(B16,Assumptions!$C$3:$E$3,0)),A16-1)*C16</f>
      </c>
      <c r="E16">
        <f>D16*INDEX(Assumptions!$C:$E,MATCH("Eligible user rate after geo/compliance",Assumptions!$B:$B,0),MATCH(B16,Assumptions!$C$3:$E$3,0))</f>
      </c>
      <c r="F16">
        <f>E16*INDEX(Assumptions!$C:$E,MATCH("Wallet connect rate",Assumptions!$B:$B,0),MATCH(B16,Assumptions!$C$3:$E$3,0))</f>
      </c>
      <c r="G16">
        <f>F16*INDEX(Assumptions!$C:$E,MATCH("USDC readiness rate",Assumptions!$B:$B,0),MATCH(B16,Assumptions!$C$3:$E$3,0))</f>
      </c>
      <c r="H16">
        <f>G16*INDEX(Assumptions!$C:$E,MATCH("First purchase conversion",Assumptions!$B:$B,0),MATCH(B16,Assumptions!$C$3:$E$3,0))</f>
      </c>
      <c r="I16">
        <f>J15*INDEX(Assumptions!$C:$E,MATCH("Repeat purchase rate",Assumptions!$B:$B,0),MATCH(B16,Assumptions!$C$3:$E$3,0))</f>
      </c>
      <c r="J16">
        <f>H16+I16</f>
      </c>
    </row>
    <row r="17">
      <c r="A17">
        <v>16</v>
      </c>
      <c r="B17" t="inlineStr">
        <is>
          <t>Conservative</t>
        </is>
      </c>
      <c r="C17">
        <f>IF(A17&lt;7,1,IF(A17&lt;13,2,IF(A17&lt;24,3,4)))</f>
      </c>
      <c r="D17">
        <f>INDEX(Assumptions!$C:$E,MATCH("Starting monthly visits",Assumptions!$B:$B,0),MATCH(B17,Assumptions!$C$3:$E$3,0))*POWER(1+INDEX(Assumptions!$C:$E,MATCH("Monthly visit growth",Assumptions!$B:$B,0),MATCH(B17,Assumptions!$C$3:$E$3,0)),A17-1)*C17</f>
      </c>
      <c r="E17">
        <f>D17*INDEX(Assumptions!$C:$E,MATCH("Eligible user rate after geo/compliance",Assumptions!$B:$B,0),MATCH(B17,Assumptions!$C$3:$E$3,0))</f>
      </c>
      <c r="F17">
        <f>E17*INDEX(Assumptions!$C:$E,MATCH("Wallet connect rate",Assumptions!$B:$B,0),MATCH(B17,Assumptions!$C$3:$E$3,0))</f>
      </c>
      <c r="G17">
        <f>F17*INDEX(Assumptions!$C:$E,MATCH("USDC readiness rate",Assumptions!$B:$B,0),MATCH(B17,Assumptions!$C$3:$E$3,0))</f>
      </c>
      <c r="H17">
        <f>G17*INDEX(Assumptions!$C:$E,MATCH("First purchase conversion",Assumptions!$B:$B,0),MATCH(B17,Assumptions!$C$3:$E$3,0))</f>
      </c>
      <c r="I17">
        <f>J16*INDEX(Assumptions!$C:$E,MATCH("Repeat purchase rate",Assumptions!$B:$B,0),MATCH(B17,Assumptions!$C$3:$E$3,0))</f>
      </c>
      <c r="J17">
        <f>H17+I17</f>
      </c>
    </row>
    <row r="18">
      <c r="A18">
        <v>17</v>
      </c>
      <c r="B18" t="inlineStr">
        <is>
          <t>Conservative</t>
        </is>
      </c>
      <c r="C18">
        <f>IF(A18&lt;7,1,IF(A18&lt;13,2,IF(A18&lt;24,3,4)))</f>
      </c>
      <c r="D18">
        <f>INDEX(Assumptions!$C:$E,MATCH("Starting monthly visits",Assumptions!$B:$B,0),MATCH(B18,Assumptions!$C$3:$E$3,0))*POWER(1+INDEX(Assumptions!$C:$E,MATCH("Monthly visit growth",Assumptions!$B:$B,0),MATCH(B18,Assumptions!$C$3:$E$3,0)),A18-1)*C18</f>
      </c>
      <c r="E18">
        <f>D18*INDEX(Assumptions!$C:$E,MATCH("Eligible user rate after geo/compliance",Assumptions!$B:$B,0),MATCH(B18,Assumptions!$C$3:$E$3,0))</f>
      </c>
      <c r="F18">
        <f>E18*INDEX(Assumptions!$C:$E,MATCH("Wallet connect rate",Assumptions!$B:$B,0),MATCH(B18,Assumptions!$C$3:$E$3,0))</f>
      </c>
      <c r="G18">
        <f>F18*INDEX(Assumptions!$C:$E,MATCH("USDC readiness rate",Assumptions!$B:$B,0),MATCH(B18,Assumptions!$C$3:$E$3,0))</f>
      </c>
      <c r="H18">
        <f>G18*INDEX(Assumptions!$C:$E,MATCH("First purchase conversion",Assumptions!$B:$B,0),MATCH(B18,Assumptions!$C$3:$E$3,0))</f>
      </c>
      <c r="I18">
        <f>J17*INDEX(Assumptions!$C:$E,MATCH("Repeat purchase rate",Assumptions!$B:$B,0),MATCH(B18,Assumptions!$C$3:$E$3,0))</f>
      </c>
      <c r="J18">
        <f>H18+I18</f>
      </c>
    </row>
    <row r="19">
      <c r="A19">
        <v>18</v>
      </c>
      <c r="B19" t="inlineStr">
        <is>
          <t>Conservative</t>
        </is>
      </c>
      <c r="C19">
        <f>IF(A19&lt;7,1,IF(A19&lt;13,2,IF(A19&lt;24,3,4)))</f>
      </c>
      <c r="D19">
        <f>INDEX(Assumptions!$C:$E,MATCH("Starting monthly visits",Assumptions!$B:$B,0),MATCH(B19,Assumptions!$C$3:$E$3,0))*POWER(1+INDEX(Assumptions!$C:$E,MATCH("Monthly visit growth",Assumptions!$B:$B,0),MATCH(B19,Assumptions!$C$3:$E$3,0)),A19-1)*C19</f>
      </c>
      <c r="E19">
        <f>D19*INDEX(Assumptions!$C:$E,MATCH("Eligible user rate after geo/compliance",Assumptions!$B:$B,0),MATCH(B19,Assumptions!$C$3:$E$3,0))</f>
      </c>
      <c r="F19">
        <f>E19*INDEX(Assumptions!$C:$E,MATCH("Wallet connect rate",Assumptions!$B:$B,0),MATCH(B19,Assumptions!$C$3:$E$3,0))</f>
      </c>
      <c r="G19">
        <f>F19*INDEX(Assumptions!$C:$E,MATCH("USDC readiness rate",Assumptions!$B:$B,0),MATCH(B19,Assumptions!$C$3:$E$3,0))</f>
      </c>
      <c r="H19">
        <f>G19*INDEX(Assumptions!$C:$E,MATCH("First purchase conversion",Assumptions!$B:$B,0),MATCH(B19,Assumptions!$C$3:$E$3,0))</f>
      </c>
      <c r="I19">
        <f>J18*INDEX(Assumptions!$C:$E,MATCH("Repeat purchase rate",Assumptions!$B:$B,0),MATCH(B19,Assumptions!$C$3:$E$3,0))</f>
      </c>
      <c r="J19">
        <f>H19+I19</f>
      </c>
    </row>
    <row r="20">
      <c r="A20">
        <v>19</v>
      </c>
      <c r="B20" t="inlineStr">
        <is>
          <t>Conservative</t>
        </is>
      </c>
      <c r="C20">
        <f>IF(A20&lt;7,1,IF(A20&lt;13,2,IF(A20&lt;24,3,4)))</f>
      </c>
      <c r="D20">
        <f>INDEX(Assumptions!$C:$E,MATCH("Starting monthly visits",Assumptions!$B:$B,0),MATCH(B20,Assumptions!$C$3:$E$3,0))*POWER(1+INDEX(Assumptions!$C:$E,MATCH("Monthly visit growth",Assumptions!$B:$B,0),MATCH(B20,Assumptions!$C$3:$E$3,0)),A20-1)*C20</f>
      </c>
      <c r="E20">
        <f>D20*INDEX(Assumptions!$C:$E,MATCH("Eligible user rate after geo/compliance",Assumptions!$B:$B,0),MATCH(B20,Assumptions!$C$3:$E$3,0))</f>
      </c>
      <c r="F20">
        <f>E20*INDEX(Assumptions!$C:$E,MATCH("Wallet connect rate",Assumptions!$B:$B,0),MATCH(B20,Assumptions!$C$3:$E$3,0))</f>
      </c>
      <c r="G20">
        <f>F20*INDEX(Assumptions!$C:$E,MATCH("USDC readiness rate",Assumptions!$B:$B,0),MATCH(B20,Assumptions!$C$3:$E$3,0))</f>
      </c>
      <c r="H20">
        <f>G20*INDEX(Assumptions!$C:$E,MATCH("First purchase conversion",Assumptions!$B:$B,0),MATCH(B20,Assumptions!$C$3:$E$3,0))</f>
      </c>
      <c r="I20">
        <f>J19*INDEX(Assumptions!$C:$E,MATCH("Repeat purchase rate",Assumptions!$B:$B,0),MATCH(B20,Assumptions!$C$3:$E$3,0))</f>
      </c>
      <c r="J20">
        <f>H20+I20</f>
      </c>
    </row>
    <row r="21">
      <c r="A21">
        <v>20</v>
      </c>
      <c r="B21" t="inlineStr">
        <is>
          <t>Conservative</t>
        </is>
      </c>
      <c r="C21">
        <f>IF(A21&lt;7,1,IF(A21&lt;13,2,IF(A21&lt;24,3,4)))</f>
      </c>
      <c r="D21">
        <f>INDEX(Assumptions!$C:$E,MATCH("Starting monthly visits",Assumptions!$B:$B,0),MATCH(B21,Assumptions!$C$3:$E$3,0))*POWER(1+INDEX(Assumptions!$C:$E,MATCH("Monthly visit growth",Assumptions!$B:$B,0),MATCH(B21,Assumptions!$C$3:$E$3,0)),A21-1)*C21</f>
      </c>
      <c r="E21">
        <f>D21*INDEX(Assumptions!$C:$E,MATCH("Eligible user rate after geo/compliance",Assumptions!$B:$B,0),MATCH(B21,Assumptions!$C$3:$E$3,0))</f>
      </c>
      <c r="F21">
        <f>E21*INDEX(Assumptions!$C:$E,MATCH("Wallet connect rate",Assumptions!$B:$B,0),MATCH(B21,Assumptions!$C$3:$E$3,0))</f>
      </c>
      <c r="G21">
        <f>F21*INDEX(Assumptions!$C:$E,MATCH("USDC readiness rate",Assumptions!$B:$B,0),MATCH(B21,Assumptions!$C$3:$E$3,0))</f>
      </c>
      <c r="H21">
        <f>G21*INDEX(Assumptions!$C:$E,MATCH("First purchase conversion",Assumptions!$B:$B,0),MATCH(B21,Assumptions!$C$3:$E$3,0))</f>
      </c>
      <c r="I21">
        <f>J20*INDEX(Assumptions!$C:$E,MATCH("Repeat purchase rate",Assumptions!$B:$B,0),MATCH(B21,Assumptions!$C$3:$E$3,0))</f>
      </c>
      <c r="J21">
        <f>H21+I21</f>
      </c>
    </row>
    <row r="22">
      <c r="A22">
        <v>21</v>
      </c>
      <c r="B22" t="inlineStr">
        <is>
          <t>Conservative</t>
        </is>
      </c>
      <c r="C22">
        <f>IF(A22&lt;7,1,IF(A22&lt;13,2,IF(A22&lt;24,3,4)))</f>
      </c>
      <c r="D22">
        <f>INDEX(Assumptions!$C:$E,MATCH("Starting monthly visits",Assumptions!$B:$B,0),MATCH(B22,Assumptions!$C$3:$E$3,0))*POWER(1+INDEX(Assumptions!$C:$E,MATCH("Monthly visit growth",Assumptions!$B:$B,0),MATCH(B22,Assumptions!$C$3:$E$3,0)),A22-1)*C22</f>
      </c>
      <c r="E22">
        <f>D22*INDEX(Assumptions!$C:$E,MATCH("Eligible user rate after geo/compliance",Assumptions!$B:$B,0),MATCH(B22,Assumptions!$C$3:$E$3,0))</f>
      </c>
      <c r="F22">
        <f>E22*INDEX(Assumptions!$C:$E,MATCH("Wallet connect rate",Assumptions!$B:$B,0),MATCH(B22,Assumptions!$C$3:$E$3,0))</f>
      </c>
      <c r="G22">
        <f>F22*INDEX(Assumptions!$C:$E,MATCH("USDC readiness rate",Assumptions!$B:$B,0),MATCH(B22,Assumptions!$C$3:$E$3,0))</f>
      </c>
      <c r="H22">
        <f>G22*INDEX(Assumptions!$C:$E,MATCH("First purchase conversion",Assumptions!$B:$B,0),MATCH(B22,Assumptions!$C$3:$E$3,0))</f>
      </c>
      <c r="I22">
        <f>J21*INDEX(Assumptions!$C:$E,MATCH("Repeat purchase rate",Assumptions!$B:$B,0),MATCH(B22,Assumptions!$C$3:$E$3,0))</f>
      </c>
      <c r="J22">
        <f>H22+I22</f>
      </c>
    </row>
    <row r="23">
      <c r="A23">
        <v>22</v>
      </c>
      <c r="B23" t="inlineStr">
        <is>
          <t>Conservative</t>
        </is>
      </c>
      <c r="C23">
        <f>IF(A23&lt;7,1,IF(A23&lt;13,2,IF(A23&lt;24,3,4)))</f>
      </c>
      <c r="D23">
        <f>INDEX(Assumptions!$C:$E,MATCH("Starting monthly visits",Assumptions!$B:$B,0),MATCH(B23,Assumptions!$C$3:$E$3,0))*POWER(1+INDEX(Assumptions!$C:$E,MATCH("Monthly visit growth",Assumptions!$B:$B,0),MATCH(B23,Assumptions!$C$3:$E$3,0)),A23-1)*C23</f>
      </c>
      <c r="E23">
        <f>D23*INDEX(Assumptions!$C:$E,MATCH("Eligible user rate after geo/compliance",Assumptions!$B:$B,0),MATCH(B23,Assumptions!$C$3:$E$3,0))</f>
      </c>
      <c r="F23">
        <f>E23*INDEX(Assumptions!$C:$E,MATCH("Wallet connect rate",Assumptions!$B:$B,0),MATCH(B23,Assumptions!$C$3:$E$3,0))</f>
      </c>
      <c r="G23">
        <f>F23*INDEX(Assumptions!$C:$E,MATCH("USDC readiness rate",Assumptions!$B:$B,0),MATCH(B23,Assumptions!$C$3:$E$3,0))</f>
      </c>
      <c r="H23">
        <f>G23*INDEX(Assumptions!$C:$E,MATCH("First purchase conversion",Assumptions!$B:$B,0),MATCH(B23,Assumptions!$C$3:$E$3,0))</f>
      </c>
      <c r="I23">
        <f>J22*INDEX(Assumptions!$C:$E,MATCH("Repeat purchase rate",Assumptions!$B:$B,0),MATCH(B23,Assumptions!$C$3:$E$3,0))</f>
      </c>
      <c r="J23">
        <f>H23+I23</f>
      </c>
    </row>
    <row r="24">
      <c r="A24">
        <v>23</v>
      </c>
      <c r="B24" t="inlineStr">
        <is>
          <t>Conservative</t>
        </is>
      </c>
      <c r="C24">
        <f>IF(A24&lt;7,1,IF(A24&lt;13,2,IF(A24&lt;24,3,4)))</f>
      </c>
      <c r="D24">
        <f>INDEX(Assumptions!$C:$E,MATCH("Starting monthly visits",Assumptions!$B:$B,0),MATCH(B24,Assumptions!$C$3:$E$3,0))*POWER(1+INDEX(Assumptions!$C:$E,MATCH("Monthly visit growth",Assumptions!$B:$B,0),MATCH(B24,Assumptions!$C$3:$E$3,0)),A24-1)*C24</f>
      </c>
      <c r="E24">
        <f>D24*INDEX(Assumptions!$C:$E,MATCH("Eligible user rate after geo/compliance",Assumptions!$B:$B,0),MATCH(B24,Assumptions!$C$3:$E$3,0))</f>
      </c>
      <c r="F24">
        <f>E24*INDEX(Assumptions!$C:$E,MATCH("Wallet connect rate",Assumptions!$B:$B,0),MATCH(B24,Assumptions!$C$3:$E$3,0))</f>
      </c>
      <c r="G24">
        <f>F24*INDEX(Assumptions!$C:$E,MATCH("USDC readiness rate",Assumptions!$B:$B,0),MATCH(B24,Assumptions!$C$3:$E$3,0))</f>
      </c>
      <c r="H24">
        <f>G24*INDEX(Assumptions!$C:$E,MATCH("First purchase conversion",Assumptions!$B:$B,0),MATCH(B24,Assumptions!$C$3:$E$3,0))</f>
      </c>
      <c r="I24">
        <f>J23*INDEX(Assumptions!$C:$E,MATCH("Repeat purchase rate",Assumptions!$B:$B,0),MATCH(B24,Assumptions!$C$3:$E$3,0))</f>
      </c>
      <c r="J24">
        <f>H24+I24</f>
      </c>
    </row>
    <row r="25">
      <c r="A25">
        <v>24</v>
      </c>
      <c r="B25" t="inlineStr">
        <is>
          <t>Conservative</t>
        </is>
      </c>
      <c r="C25">
        <f>IF(A25&lt;7,1,IF(A25&lt;13,2,IF(A25&lt;24,3,4)))</f>
      </c>
      <c r="D25">
        <f>INDEX(Assumptions!$C:$E,MATCH("Starting monthly visits",Assumptions!$B:$B,0),MATCH(B25,Assumptions!$C$3:$E$3,0))*POWER(1+INDEX(Assumptions!$C:$E,MATCH("Monthly visit growth",Assumptions!$B:$B,0),MATCH(B25,Assumptions!$C$3:$E$3,0)),A25-1)*C25</f>
      </c>
      <c r="E25">
        <f>D25*INDEX(Assumptions!$C:$E,MATCH("Eligible user rate after geo/compliance",Assumptions!$B:$B,0),MATCH(B25,Assumptions!$C$3:$E$3,0))</f>
      </c>
      <c r="F25">
        <f>E25*INDEX(Assumptions!$C:$E,MATCH("Wallet connect rate",Assumptions!$B:$B,0),MATCH(B25,Assumptions!$C$3:$E$3,0))</f>
      </c>
      <c r="G25">
        <f>F25*INDEX(Assumptions!$C:$E,MATCH("USDC readiness rate",Assumptions!$B:$B,0),MATCH(B25,Assumptions!$C$3:$E$3,0))</f>
      </c>
      <c r="H25">
        <f>G25*INDEX(Assumptions!$C:$E,MATCH("First purchase conversion",Assumptions!$B:$B,0),MATCH(B25,Assumptions!$C$3:$E$3,0))</f>
      </c>
      <c r="I25">
        <f>J24*INDEX(Assumptions!$C:$E,MATCH("Repeat purchase rate",Assumptions!$B:$B,0),MATCH(B25,Assumptions!$C$3:$E$3,0))</f>
      </c>
      <c r="J25">
        <f>H25+I25</f>
      </c>
    </row>
    <row r="26">
      <c r="A26">
        <v>25</v>
      </c>
      <c r="B26" t="inlineStr">
        <is>
          <t>Conservative</t>
        </is>
      </c>
      <c r="C26">
        <f>IF(A26&lt;7,1,IF(A26&lt;13,2,IF(A26&lt;24,3,4)))</f>
      </c>
      <c r="D26">
        <f>INDEX(Assumptions!$C:$E,MATCH("Starting monthly visits",Assumptions!$B:$B,0),MATCH(B26,Assumptions!$C$3:$E$3,0))*POWER(1+INDEX(Assumptions!$C:$E,MATCH("Monthly visit growth",Assumptions!$B:$B,0),MATCH(B26,Assumptions!$C$3:$E$3,0)),A26-1)*C26</f>
      </c>
      <c r="E26">
        <f>D26*INDEX(Assumptions!$C:$E,MATCH("Eligible user rate after geo/compliance",Assumptions!$B:$B,0),MATCH(B26,Assumptions!$C$3:$E$3,0))</f>
      </c>
      <c r="F26">
        <f>E26*INDEX(Assumptions!$C:$E,MATCH("Wallet connect rate",Assumptions!$B:$B,0),MATCH(B26,Assumptions!$C$3:$E$3,0))</f>
      </c>
      <c r="G26">
        <f>F26*INDEX(Assumptions!$C:$E,MATCH("USDC readiness rate",Assumptions!$B:$B,0),MATCH(B26,Assumptions!$C$3:$E$3,0))</f>
      </c>
      <c r="H26">
        <f>G26*INDEX(Assumptions!$C:$E,MATCH("First purchase conversion",Assumptions!$B:$B,0),MATCH(B26,Assumptions!$C$3:$E$3,0))</f>
      </c>
      <c r="I26">
        <f>J25*INDEX(Assumptions!$C:$E,MATCH("Repeat purchase rate",Assumptions!$B:$B,0),MATCH(B26,Assumptions!$C$3:$E$3,0))</f>
      </c>
      <c r="J26">
        <f>H26+I26</f>
      </c>
    </row>
    <row r="27">
      <c r="A27">
        <v>26</v>
      </c>
      <c r="B27" t="inlineStr">
        <is>
          <t>Conservative</t>
        </is>
      </c>
      <c r="C27">
        <f>IF(A27&lt;7,1,IF(A27&lt;13,2,IF(A27&lt;24,3,4)))</f>
      </c>
      <c r="D27">
        <f>INDEX(Assumptions!$C:$E,MATCH("Starting monthly visits",Assumptions!$B:$B,0),MATCH(B27,Assumptions!$C$3:$E$3,0))*POWER(1+INDEX(Assumptions!$C:$E,MATCH("Monthly visit growth",Assumptions!$B:$B,0),MATCH(B27,Assumptions!$C$3:$E$3,0)),A27-1)*C27</f>
      </c>
      <c r="E27">
        <f>D27*INDEX(Assumptions!$C:$E,MATCH("Eligible user rate after geo/compliance",Assumptions!$B:$B,0),MATCH(B27,Assumptions!$C$3:$E$3,0))</f>
      </c>
      <c r="F27">
        <f>E27*INDEX(Assumptions!$C:$E,MATCH("Wallet connect rate",Assumptions!$B:$B,0),MATCH(B27,Assumptions!$C$3:$E$3,0))</f>
      </c>
      <c r="G27">
        <f>F27*INDEX(Assumptions!$C:$E,MATCH("USDC readiness rate",Assumptions!$B:$B,0),MATCH(B27,Assumptions!$C$3:$E$3,0))</f>
      </c>
      <c r="H27">
        <f>G27*INDEX(Assumptions!$C:$E,MATCH("First purchase conversion",Assumptions!$B:$B,0),MATCH(B27,Assumptions!$C$3:$E$3,0))</f>
      </c>
      <c r="I27">
        <f>J26*INDEX(Assumptions!$C:$E,MATCH("Repeat purchase rate",Assumptions!$B:$B,0),MATCH(B27,Assumptions!$C$3:$E$3,0))</f>
      </c>
      <c r="J27">
        <f>H27+I27</f>
      </c>
    </row>
    <row r="28">
      <c r="A28">
        <v>27</v>
      </c>
      <c r="B28" t="inlineStr">
        <is>
          <t>Conservative</t>
        </is>
      </c>
      <c r="C28">
        <f>IF(A28&lt;7,1,IF(A28&lt;13,2,IF(A28&lt;24,3,4)))</f>
      </c>
      <c r="D28">
        <f>INDEX(Assumptions!$C:$E,MATCH("Starting monthly visits",Assumptions!$B:$B,0),MATCH(B28,Assumptions!$C$3:$E$3,0))*POWER(1+INDEX(Assumptions!$C:$E,MATCH("Monthly visit growth",Assumptions!$B:$B,0),MATCH(B28,Assumptions!$C$3:$E$3,0)),A28-1)*C28</f>
      </c>
      <c r="E28">
        <f>D28*INDEX(Assumptions!$C:$E,MATCH("Eligible user rate after geo/compliance",Assumptions!$B:$B,0),MATCH(B28,Assumptions!$C$3:$E$3,0))</f>
      </c>
      <c r="F28">
        <f>E28*INDEX(Assumptions!$C:$E,MATCH("Wallet connect rate",Assumptions!$B:$B,0),MATCH(B28,Assumptions!$C$3:$E$3,0))</f>
      </c>
      <c r="G28">
        <f>F28*INDEX(Assumptions!$C:$E,MATCH("USDC readiness rate",Assumptions!$B:$B,0),MATCH(B28,Assumptions!$C$3:$E$3,0))</f>
      </c>
      <c r="H28">
        <f>G28*INDEX(Assumptions!$C:$E,MATCH("First purchase conversion",Assumptions!$B:$B,0),MATCH(B28,Assumptions!$C$3:$E$3,0))</f>
      </c>
      <c r="I28">
        <f>J27*INDEX(Assumptions!$C:$E,MATCH("Repeat purchase rate",Assumptions!$B:$B,0),MATCH(B28,Assumptions!$C$3:$E$3,0))</f>
      </c>
      <c r="J28">
        <f>H28+I28</f>
      </c>
    </row>
    <row r="29">
      <c r="A29">
        <v>28</v>
      </c>
      <c r="B29" t="inlineStr">
        <is>
          <t>Conservative</t>
        </is>
      </c>
      <c r="C29">
        <f>IF(A29&lt;7,1,IF(A29&lt;13,2,IF(A29&lt;24,3,4)))</f>
      </c>
      <c r="D29">
        <f>INDEX(Assumptions!$C:$E,MATCH("Starting monthly visits",Assumptions!$B:$B,0),MATCH(B29,Assumptions!$C$3:$E$3,0))*POWER(1+INDEX(Assumptions!$C:$E,MATCH("Monthly visit growth",Assumptions!$B:$B,0),MATCH(B29,Assumptions!$C$3:$E$3,0)),A29-1)*C29</f>
      </c>
      <c r="E29">
        <f>D29*INDEX(Assumptions!$C:$E,MATCH("Eligible user rate after geo/compliance",Assumptions!$B:$B,0),MATCH(B29,Assumptions!$C$3:$E$3,0))</f>
      </c>
      <c r="F29">
        <f>E29*INDEX(Assumptions!$C:$E,MATCH("Wallet connect rate",Assumptions!$B:$B,0),MATCH(B29,Assumptions!$C$3:$E$3,0))</f>
      </c>
      <c r="G29">
        <f>F29*INDEX(Assumptions!$C:$E,MATCH("USDC readiness rate",Assumptions!$B:$B,0),MATCH(B29,Assumptions!$C$3:$E$3,0))</f>
      </c>
      <c r="H29">
        <f>G29*INDEX(Assumptions!$C:$E,MATCH("First purchase conversion",Assumptions!$B:$B,0),MATCH(B29,Assumptions!$C$3:$E$3,0))</f>
      </c>
      <c r="I29">
        <f>J28*INDEX(Assumptions!$C:$E,MATCH("Repeat purchase rate",Assumptions!$B:$B,0),MATCH(B29,Assumptions!$C$3:$E$3,0))</f>
      </c>
      <c r="J29">
        <f>H29+I29</f>
      </c>
    </row>
    <row r="30">
      <c r="A30">
        <v>29</v>
      </c>
      <c r="B30" t="inlineStr">
        <is>
          <t>Conservative</t>
        </is>
      </c>
      <c r="C30">
        <f>IF(A30&lt;7,1,IF(A30&lt;13,2,IF(A30&lt;24,3,4)))</f>
      </c>
      <c r="D30">
        <f>INDEX(Assumptions!$C:$E,MATCH("Starting monthly visits",Assumptions!$B:$B,0),MATCH(B30,Assumptions!$C$3:$E$3,0))*POWER(1+INDEX(Assumptions!$C:$E,MATCH("Monthly visit growth",Assumptions!$B:$B,0),MATCH(B30,Assumptions!$C$3:$E$3,0)),A30-1)*C30</f>
      </c>
      <c r="E30">
        <f>D30*INDEX(Assumptions!$C:$E,MATCH("Eligible user rate after geo/compliance",Assumptions!$B:$B,0),MATCH(B30,Assumptions!$C$3:$E$3,0))</f>
      </c>
      <c r="F30">
        <f>E30*INDEX(Assumptions!$C:$E,MATCH("Wallet connect rate",Assumptions!$B:$B,0),MATCH(B30,Assumptions!$C$3:$E$3,0))</f>
      </c>
      <c r="G30">
        <f>F30*INDEX(Assumptions!$C:$E,MATCH("USDC readiness rate",Assumptions!$B:$B,0),MATCH(B30,Assumptions!$C$3:$E$3,0))</f>
      </c>
      <c r="H30">
        <f>G30*INDEX(Assumptions!$C:$E,MATCH("First purchase conversion",Assumptions!$B:$B,0),MATCH(B30,Assumptions!$C$3:$E$3,0))</f>
      </c>
      <c r="I30">
        <f>J29*INDEX(Assumptions!$C:$E,MATCH("Repeat purchase rate",Assumptions!$B:$B,0),MATCH(B30,Assumptions!$C$3:$E$3,0))</f>
      </c>
      <c r="J30">
        <f>H30+I30</f>
      </c>
    </row>
    <row r="31">
      <c r="A31">
        <v>30</v>
      </c>
      <c r="B31" t="inlineStr">
        <is>
          <t>Conservative</t>
        </is>
      </c>
      <c r="C31">
        <f>IF(A31&lt;7,1,IF(A31&lt;13,2,IF(A31&lt;24,3,4)))</f>
      </c>
      <c r="D31">
        <f>INDEX(Assumptions!$C:$E,MATCH("Starting monthly visits",Assumptions!$B:$B,0),MATCH(B31,Assumptions!$C$3:$E$3,0))*POWER(1+INDEX(Assumptions!$C:$E,MATCH("Monthly visit growth",Assumptions!$B:$B,0),MATCH(B31,Assumptions!$C$3:$E$3,0)),A31-1)*C31</f>
      </c>
      <c r="E31">
        <f>D31*INDEX(Assumptions!$C:$E,MATCH("Eligible user rate after geo/compliance",Assumptions!$B:$B,0),MATCH(B31,Assumptions!$C$3:$E$3,0))</f>
      </c>
      <c r="F31">
        <f>E31*INDEX(Assumptions!$C:$E,MATCH("Wallet connect rate",Assumptions!$B:$B,0),MATCH(B31,Assumptions!$C$3:$E$3,0))</f>
      </c>
      <c r="G31">
        <f>F31*INDEX(Assumptions!$C:$E,MATCH("USDC readiness rate",Assumptions!$B:$B,0),MATCH(B31,Assumptions!$C$3:$E$3,0))</f>
      </c>
      <c r="H31">
        <f>G31*INDEX(Assumptions!$C:$E,MATCH("First purchase conversion",Assumptions!$B:$B,0),MATCH(B31,Assumptions!$C$3:$E$3,0))</f>
      </c>
      <c r="I31">
        <f>J30*INDEX(Assumptions!$C:$E,MATCH("Repeat purchase rate",Assumptions!$B:$B,0),MATCH(B31,Assumptions!$C$3:$E$3,0))</f>
      </c>
      <c r="J31">
        <f>H31+I31</f>
      </c>
    </row>
    <row r="32">
      <c r="A32">
        <v>31</v>
      </c>
      <c r="B32" t="inlineStr">
        <is>
          <t>Conservative</t>
        </is>
      </c>
      <c r="C32">
        <f>IF(A32&lt;7,1,IF(A32&lt;13,2,IF(A32&lt;24,3,4)))</f>
      </c>
      <c r="D32">
        <f>INDEX(Assumptions!$C:$E,MATCH("Starting monthly visits",Assumptions!$B:$B,0),MATCH(B32,Assumptions!$C$3:$E$3,0))*POWER(1+INDEX(Assumptions!$C:$E,MATCH("Monthly visit growth",Assumptions!$B:$B,0),MATCH(B32,Assumptions!$C$3:$E$3,0)),A32-1)*C32</f>
      </c>
      <c r="E32">
        <f>D32*INDEX(Assumptions!$C:$E,MATCH("Eligible user rate after geo/compliance",Assumptions!$B:$B,0),MATCH(B32,Assumptions!$C$3:$E$3,0))</f>
      </c>
      <c r="F32">
        <f>E32*INDEX(Assumptions!$C:$E,MATCH("Wallet connect rate",Assumptions!$B:$B,0),MATCH(B32,Assumptions!$C$3:$E$3,0))</f>
      </c>
      <c r="G32">
        <f>F32*INDEX(Assumptions!$C:$E,MATCH("USDC readiness rate",Assumptions!$B:$B,0),MATCH(B32,Assumptions!$C$3:$E$3,0))</f>
      </c>
      <c r="H32">
        <f>G32*INDEX(Assumptions!$C:$E,MATCH("First purchase conversion",Assumptions!$B:$B,0),MATCH(B32,Assumptions!$C$3:$E$3,0))</f>
      </c>
      <c r="I32">
        <f>J31*INDEX(Assumptions!$C:$E,MATCH("Repeat purchase rate",Assumptions!$B:$B,0),MATCH(B32,Assumptions!$C$3:$E$3,0))</f>
      </c>
      <c r="J32">
        <f>H32+I32</f>
      </c>
    </row>
    <row r="33">
      <c r="A33">
        <v>32</v>
      </c>
      <c r="B33" t="inlineStr">
        <is>
          <t>Conservative</t>
        </is>
      </c>
      <c r="C33">
        <f>IF(A33&lt;7,1,IF(A33&lt;13,2,IF(A33&lt;24,3,4)))</f>
      </c>
      <c r="D33">
        <f>INDEX(Assumptions!$C:$E,MATCH("Starting monthly visits",Assumptions!$B:$B,0),MATCH(B33,Assumptions!$C$3:$E$3,0))*POWER(1+INDEX(Assumptions!$C:$E,MATCH("Monthly visit growth",Assumptions!$B:$B,0),MATCH(B33,Assumptions!$C$3:$E$3,0)),A33-1)*C33</f>
      </c>
      <c r="E33">
        <f>D33*INDEX(Assumptions!$C:$E,MATCH("Eligible user rate after geo/compliance",Assumptions!$B:$B,0),MATCH(B33,Assumptions!$C$3:$E$3,0))</f>
      </c>
      <c r="F33">
        <f>E33*INDEX(Assumptions!$C:$E,MATCH("Wallet connect rate",Assumptions!$B:$B,0),MATCH(B33,Assumptions!$C$3:$E$3,0))</f>
      </c>
      <c r="G33">
        <f>F33*INDEX(Assumptions!$C:$E,MATCH("USDC readiness rate",Assumptions!$B:$B,0),MATCH(B33,Assumptions!$C$3:$E$3,0))</f>
      </c>
      <c r="H33">
        <f>G33*INDEX(Assumptions!$C:$E,MATCH("First purchase conversion",Assumptions!$B:$B,0),MATCH(B33,Assumptions!$C$3:$E$3,0))</f>
      </c>
      <c r="I33">
        <f>J32*INDEX(Assumptions!$C:$E,MATCH("Repeat purchase rate",Assumptions!$B:$B,0),MATCH(B33,Assumptions!$C$3:$E$3,0))</f>
      </c>
      <c r="J33">
        <f>H33+I33</f>
      </c>
    </row>
    <row r="34">
      <c r="A34">
        <v>33</v>
      </c>
      <c r="B34" t="inlineStr">
        <is>
          <t>Conservative</t>
        </is>
      </c>
      <c r="C34">
        <f>IF(A34&lt;7,1,IF(A34&lt;13,2,IF(A34&lt;24,3,4)))</f>
      </c>
      <c r="D34">
        <f>INDEX(Assumptions!$C:$E,MATCH("Starting monthly visits",Assumptions!$B:$B,0),MATCH(B34,Assumptions!$C$3:$E$3,0))*POWER(1+INDEX(Assumptions!$C:$E,MATCH("Monthly visit growth",Assumptions!$B:$B,0),MATCH(B34,Assumptions!$C$3:$E$3,0)),A34-1)*C34</f>
      </c>
      <c r="E34">
        <f>D34*INDEX(Assumptions!$C:$E,MATCH("Eligible user rate after geo/compliance",Assumptions!$B:$B,0),MATCH(B34,Assumptions!$C$3:$E$3,0))</f>
      </c>
      <c r="F34">
        <f>E34*INDEX(Assumptions!$C:$E,MATCH("Wallet connect rate",Assumptions!$B:$B,0),MATCH(B34,Assumptions!$C$3:$E$3,0))</f>
      </c>
      <c r="G34">
        <f>F34*INDEX(Assumptions!$C:$E,MATCH("USDC readiness rate",Assumptions!$B:$B,0),MATCH(B34,Assumptions!$C$3:$E$3,0))</f>
      </c>
      <c r="H34">
        <f>G34*INDEX(Assumptions!$C:$E,MATCH("First purchase conversion",Assumptions!$B:$B,0),MATCH(B34,Assumptions!$C$3:$E$3,0))</f>
      </c>
      <c r="I34">
        <f>J33*INDEX(Assumptions!$C:$E,MATCH("Repeat purchase rate",Assumptions!$B:$B,0),MATCH(B34,Assumptions!$C$3:$E$3,0))</f>
      </c>
      <c r="J34">
        <f>H34+I34</f>
      </c>
    </row>
    <row r="35">
      <c r="A35">
        <v>34</v>
      </c>
      <c r="B35" t="inlineStr">
        <is>
          <t>Conservative</t>
        </is>
      </c>
      <c r="C35">
        <f>IF(A35&lt;7,1,IF(A35&lt;13,2,IF(A35&lt;24,3,4)))</f>
      </c>
      <c r="D35">
        <f>INDEX(Assumptions!$C:$E,MATCH("Starting monthly visits",Assumptions!$B:$B,0),MATCH(B35,Assumptions!$C$3:$E$3,0))*POWER(1+INDEX(Assumptions!$C:$E,MATCH("Monthly visit growth",Assumptions!$B:$B,0),MATCH(B35,Assumptions!$C$3:$E$3,0)),A35-1)*C35</f>
      </c>
      <c r="E35">
        <f>D35*INDEX(Assumptions!$C:$E,MATCH("Eligible user rate after geo/compliance",Assumptions!$B:$B,0),MATCH(B35,Assumptions!$C$3:$E$3,0))</f>
      </c>
      <c r="F35">
        <f>E35*INDEX(Assumptions!$C:$E,MATCH("Wallet connect rate",Assumptions!$B:$B,0),MATCH(B35,Assumptions!$C$3:$E$3,0))</f>
      </c>
      <c r="G35">
        <f>F35*INDEX(Assumptions!$C:$E,MATCH("USDC readiness rate",Assumptions!$B:$B,0),MATCH(B35,Assumptions!$C$3:$E$3,0))</f>
      </c>
      <c r="H35">
        <f>G35*INDEX(Assumptions!$C:$E,MATCH("First purchase conversion",Assumptions!$B:$B,0),MATCH(B35,Assumptions!$C$3:$E$3,0))</f>
      </c>
      <c r="I35">
        <f>J34*INDEX(Assumptions!$C:$E,MATCH("Repeat purchase rate",Assumptions!$B:$B,0),MATCH(B35,Assumptions!$C$3:$E$3,0))</f>
      </c>
      <c r="J35">
        <f>H35+I35</f>
      </c>
    </row>
    <row r="36">
      <c r="A36">
        <v>35</v>
      </c>
      <c r="B36" t="inlineStr">
        <is>
          <t>Conservative</t>
        </is>
      </c>
      <c r="C36">
        <f>IF(A36&lt;7,1,IF(A36&lt;13,2,IF(A36&lt;24,3,4)))</f>
      </c>
      <c r="D36">
        <f>INDEX(Assumptions!$C:$E,MATCH("Starting monthly visits",Assumptions!$B:$B,0),MATCH(B36,Assumptions!$C$3:$E$3,0))*POWER(1+INDEX(Assumptions!$C:$E,MATCH("Monthly visit growth",Assumptions!$B:$B,0),MATCH(B36,Assumptions!$C$3:$E$3,0)),A36-1)*C36</f>
      </c>
      <c r="E36">
        <f>D36*INDEX(Assumptions!$C:$E,MATCH("Eligible user rate after geo/compliance",Assumptions!$B:$B,0),MATCH(B36,Assumptions!$C$3:$E$3,0))</f>
      </c>
      <c r="F36">
        <f>E36*INDEX(Assumptions!$C:$E,MATCH("Wallet connect rate",Assumptions!$B:$B,0),MATCH(B36,Assumptions!$C$3:$E$3,0))</f>
      </c>
      <c r="G36">
        <f>F36*INDEX(Assumptions!$C:$E,MATCH("USDC readiness rate",Assumptions!$B:$B,0),MATCH(B36,Assumptions!$C$3:$E$3,0))</f>
      </c>
      <c r="H36">
        <f>G36*INDEX(Assumptions!$C:$E,MATCH("First purchase conversion",Assumptions!$B:$B,0),MATCH(B36,Assumptions!$C$3:$E$3,0))</f>
      </c>
      <c r="I36">
        <f>J35*INDEX(Assumptions!$C:$E,MATCH("Repeat purchase rate",Assumptions!$B:$B,0),MATCH(B36,Assumptions!$C$3:$E$3,0))</f>
      </c>
      <c r="J36">
        <f>H36+I36</f>
      </c>
    </row>
    <row r="37">
      <c r="A37">
        <v>36</v>
      </c>
      <c r="B37" t="inlineStr">
        <is>
          <t>Conservative</t>
        </is>
      </c>
      <c r="C37">
        <f>IF(A37&lt;7,1,IF(A37&lt;13,2,IF(A37&lt;24,3,4)))</f>
      </c>
      <c r="D37">
        <f>INDEX(Assumptions!$C:$E,MATCH("Starting monthly visits",Assumptions!$B:$B,0),MATCH(B37,Assumptions!$C$3:$E$3,0))*POWER(1+INDEX(Assumptions!$C:$E,MATCH("Monthly visit growth",Assumptions!$B:$B,0),MATCH(B37,Assumptions!$C$3:$E$3,0)),A37-1)*C37</f>
      </c>
      <c r="E37">
        <f>D37*INDEX(Assumptions!$C:$E,MATCH("Eligible user rate after geo/compliance",Assumptions!$B:$B,0),MATCH(B37,Assumptions!$C$3:$E$3,0))</f>
      </c>
      <c r="F37">
        <f>E37*INDEX(Assumptions!$C:$E,MATCH("Wallet connect rate",Assumptions!$B:$B,0),MATCH(B37,Assumptions!$C$3:$E$3,0))</f>
      </c>
      <c r="G37">
        <f>F37*INDEX(Assumptions!$C:$E,MATCH("USDC readiness rate",Assumptions!$B:$B,0),MATCH(B37,Assumptions!$C$3:$E$3,0))</f>
      </c>
      <c r="H37">
        <f>G37*INDEX(Assumptions!$C:$E,MATCH("First purchase conversion",Assumptions!$B:$B,0),MATCH(B37,Assumptions!$C$3:$E$3,0))</f>
      </c>
      <c r="I37">
        <f>J36*INDEX(Assumptions!$C:$E,MATCH("Repeat purchase rate",Assumptions!$B:$B,0),MATCH(B37,Assumptions!$C$3:$E$3,0))</f>
      </c>
      <c r="J37">
        <f>H37+I37</f>
      </c>
    </row>
    <row r="38">
      <c r="A38">
        <v>1</v>
      </c>
      <c r="B38" t="inlineStr">
        <is>
          <t>Base</t>
        </is>
      </c>
      <c r="C38">
        <f>IF(A38&lt;7,1,IF(A38&lt;13,2,IF(A38&lt;24,3,4)))</f>
      </c>
      <c r="D38">
        <f>INDEX(Assumptions!$C:$E,MATCH("Starting monthly visits",Assumptions!$B:$B,0),MATCH(B38,Assumptions!$C$3:$E$3,0))*POWER(1+INDEX(Assumptions!$C:$E,MATCH("Monthly visit growth",Assumptions!$B:$B,0),MATCH(B38,Assumptions!$C$3:$E$3,0)),A38-1)*C38</f>
      </c>
      <c r="E38">
        <f>D38*INDEX(Assumptions!$C:$E,MATCH("Eligible user rate after geo/compliance",Assumptions!$B:$B,0),MATCH(B38,Assumptions!$C$3:$E$3,0))</f>
      </c>
      <c r="F38">
        <f>E38*INDEX(Assumptions!$C:$E,MATCH("Wallet connect rate",Assumptions!$B:$B,0),MATCH(B38,Assumptions!$C$3:$E$3,0))</f>
      </c>
      <c r="G38">
        <f>F38*INDEX(Assumptions!$C:$E,MATCH("USDC readiness rate",Assumptions!$B:$B,0),MATCH(B38,Assumptions!$C$3:$E$3,0))</f>
      </c>
      <c r="H38">
        <f>G38*INDEX(Assumptions!$C:$E,MATCH("First purchase conversion",Assumptions!$B:$B,0),MATCH(B38,Assumptions!$C$3:$E$3,0))</f>
      </c>
      <c r="I38">
        <f>0*INDEX(Assumptions!$C:$E,MATCH("Repeat purchase rate",Assumptions!$B:$B,0),MATCH(B38,Assumptions!$C$3:$E$3,0))</f>
      </c>
      <c r="J38">
        <f>H38+I38</f>
      </c>
    </row>
    <row r="39">
      <c r="A39">
        <v>2</v>
      </c>
      <c r="B39" t="inlineStr">
        <is>
          <t>Base</t>
        </is>
      </c>
      <c r="C39">
        <f>IF(A39&lt;7,1,IF(A39&lt;13,2,IF(A39&lt;24,3,4)))</f>
      </c>
      <c r="D39">
        <f>INDEX(Assumptions!$C:$E,MATCH("Starting monthly visits",Assumptions!$B:$B,0),MATCH(B39,Assumptions!$C$3:$E$3,0))*POWER(1+INDEX(Assumptions!$C:$E,MATCH("Monthly visit growth",Assumptions!$B:$B,0),MATCH(B39,Assumptions!$C$3:$E$3,0)),A39-1)*C39</f>
      </c>
      <c r="E39">
        <f>D39*INDEX(Assumptions!$C:$E,MATCH("Eligible user rate after geo/compliance",Assumptions!$B:$B,0),MATCH(B39,Assumptions!$C$3:$E$3,0))</f>
      </c>
      <c r="F39">
        <f>E39*INDEX(Assumptions!$C:$E,MATCH("Wallet connect rate",Assumptions!$B:$B,0),MATCH(B39,Assumptions!$C$3:$E$3,0))</f>
      </c>
      <c r="G39">
        <f>F39*INDEX(Assumptions!$C:$E,MATCH("USDC readiness rate",Assumptions!$B:$B,0),MATCH(B39,Assumptions!$C$3:$E$3,0))</f>
      </c>
      <c r="H39">
        <f>G39*INDEX(Assumptions!$C:$E,MATCH("First purchase conversion",Assumptions!$B:$B,0),MATCH(B39,Assumptions!$C$3:$E$3,0))</f>
      </c>
      <c r="I39">
        <f>J38*INDEX(Assumptions!$C:$E,MATCH("Repeat purchase rate",Assumptions!$B:$B,0),MATCH(B39,Assumptions!$C$3:$E$3,0))</f>
      </c>
      <c r="J39">
        <f>H39+I39</f>
      </c>
    </row>
    <row r="40">
      <c r="A40">
        <v>3</v>
      </c>
      <c r="B40" t="inlineStr">
        <is>
          <t>Base</t>
        </is>
      </c>
      <c r="C40">
        <f>IF(A40&lt;7,1,IF(A40&lt;13,2,IF(A40&lt;24,3,4)))</f>
      </c>
      <c r="D40">
        <f>INDEX(Assumptions!$C:$E,MATCH("Starting monthly visits",Assumptions!$B:$B,0),MATCH(B40,Assumptions!$C$3:$E$3,0))*POWER(1+INDEX(Assumptions!$C:$E,MATCH("Monthly visit growth",Assumptions!$B:$B,0),MATCH(B40,Assumptions!$C$3:$E$3,0)),A40-1)*C40</f>
      </c>
      <c r="E40">
        <f>D40*INDEX(Assumptions!$C:$E,MATCH("Eligible user rate after geo/compliance",Assumptions!$B:$B,0),MATCH(B40,Assumptions!$C$3:$E$3,0))</f>
      </c>
      <c r="F40">
        <f>E40*INDEX(Assumptions!$C:$E,MATCH("Wallet connect rate",Assumptions!$B:$B,0),MATCH(B40,Assumptions!$C$3:$E$3,0))</f>
      </c>
      <c r="G40">
        <f>F40*INDEX(Assumptions!$C:$E,MATCH("USDC readiness rate",Assumptions!$B:$B,0),MATCH(B40,Assumptions!$C$3:$E$3,0))</f>
      </c>
      <c r="H40">
        <f>G40*INDEX(Assumptions!$C:$E,MATCH("First purchase conversion",Assumptions!$B:$B,0),MATCH(B40,Assumptions!$C$3:$E$3,0))</f>
      </c>
      <c r="I40">
        <f>J39*INDEX(Assumptions!$C:$E,MATCH("Repeat purchase rate",Assumptions!$B:$B,0),MATCH(B40,Assumptions!$C$3:$E$3,0))</f>
      </c>
      <c r="J40">
        <f>H40+I40</f>
      </c>
    </row>
    <row r="41">
      <c r="A41">
        <v>4</v>
      </c>
      <c r="B41" t="inlineStr">
        <is>
          <t>Base</t>
        </is>
      </c>
      <c r="C41">
        <f>IF(A41&lt;7,1,IF(A41&lt;13,2,IF(A41&lt;24,3,4)))</f>
      </c>
      <c r="D41">
        <f>INDEX(Assumptions!$C:$E,MATCH("Starting monthly visits",Assumptions!$B:$B,0),MATCH(B41,Assumptions!$C$3:$E$3,0))*POWER(1+INDEX(Assumptions!$C:$E,MATCH("Monthly visit growth",Assumptions!$B:$B,0),MATCH(B41,Assumptions!$C$3:$E$3,0)),A41-1)*C41</f>
      </c>
      <c r="E41">
        <f>D41*INDEX(Assumptions!$C:$E,MATCH("Eligible user rate after geo/compliance",Assumptions!$B:$B,0),MATCH(B41,Assumptions!$C$3:$E$3,0))</f>
      </c>
      <c r="F41">
        <f>E41*INDEX(Assumptions!$C:$E,MATCH("Wallet connect rate",Assumptions!$B:$B,0),MATCH(B41,Assumptions!$C$3:$E$3,0))</f>
      </c>
      <c r="G41">
        <f>F41*INDEX(Assumptions!$C:$E,MATCH("USDC readiness rate",Assumptions!$B:$B,0),MATCH(B41,Assumptions!$C$3:$E$3,0))</f>
      </c>
      <c r="H41">
        <f>G41*INDEX(Assumptions!$C:$E,MATCH("First purchase conversion",Assumptions!$B:$B,0),MATCH(B41,Assumptions!$C$3:$E$3,0))</f>
      </c>
      <c r="I41">
        <f>J40*INDEX(Assumptions!$C:$E,MATCH("Repeat purchase rate",Assumptions!$B:$B,0),MATCH(B41,Assumptions!$C$3:$E$3,0))</f>
      </c>
      <c r="J41">
        <f>H41+I41</f>
      </c>
    </row>
    <row r="42">
      <c r="A42">
        <v>5</v>
      </c>
      <c r="B42" t="inlineStr">
        <is>
          <t>Base</t>
        </is>
      </c>
      <c r="C42">
        <f>IF(A42&lt;7,1,IF(A42&lt;13,2,IF(A42&lt;24,3,4)))</f>
      </c>
      <c r="D42">
        <f>INDEX(Assumptions!$C:$E,MATCH("Starting monthly visits",Assumptions!$B:$B,0),MATCH(B42,Assumptions!$C$3:$E$3,0))*POWER(1+INDEX(Assumptions!$C:$E,MATCH("Monthly visit growth",Assumptions!$B:$B,0),MATCH(B42,Assumptions!$C$3:$E$3,0)),A42-1)*C42</f>
      </c>
      <c r="E42">
        <f>D42*INDEX(Assumptions!$C:$E,MATCH("Eligible user rate after geo/compliance",Assumptions!$B:$B,0),MATCH(B42,Assumptions!$C$3:$E$3,0))</f>
      </c>
      <c r="F42">
        <f>E42*INDEX(Assumptions!$C:$E,MATCH("Wallet connect rate",Assumptions!$B:$B,0),MATCH(B42,Assumptions!$C$3:$E$3,0))</f>
      </c>
      <c r="G42">
        <f>F42*INDEX(Assumptions!$C:$E,MATCH("USDC readiness rate",Assumptions!$B:$B,0),MATCH(B42,Assumptions!$C$3:$E$3,0))</f>
      </c>
      <c r="H42">
        <f>G42*INDEX(Assumptions!$C:$E,MATCH("First purchase conversion",Assumptions!$B:$B,0),MATCH(B42,Assumptions!$C$3:$E$3,0))</f>
      </c>
      <c r="I42">
        <f>J41*INDEX(Assumptions!$C:$E,MATCH("Repeat purchase rate",Assumptions!$B:$B,0),MATCH(B42,Assumptions!$C$3:$E$3,0))</f>
      </c>
      <c r="J42">
        <f>H42+I42</f>
      </c>
    </row>
    <row r="43">
      <c r="A43">
        <v>6</v>
      </c>
      <c r="B43" t="inlineStr">
        <is>
          <t>Base</t>
        </is>
      </c>
      <c r="C43">
        <f>IF(A43&lt;7,1,IF(A43&lt;13,2,IF(A43&lt;24,3,4)))</f>
      </c>
      <c r="D43">
        <f>INDEX(Assumptions!$C:$E,MATCH("Starting monthly visits",Assumptions!$B:$B,0),MATCH(B43,Assumptions!$C$3:$E$3,0))*POWER(1+INDEX(Assumptions!$C:$E,MATCH("Monthly visit growth",Assumptions!$B:$B,0),MATCH(B43,Assumptions!$C$3:$E$3,0)),A43-1)*C43</f>
      </c>
      <c r="E43">
        <f>D43*INDEX(Assumptions!$C:$E,MATCH("Eligible user rate after geo/compliance",Assumptions!$B:$B,0),MATCH(B43,Assumptions!$C$3:$E$3,0))</f>
      </c>
      <c r="F43">
        <f>E43*INDEX(Assumptions!$C:$E,MATCH("Wallet connect rate",Assumptions!$B:$B,0),MATCH(B43,Assumptions!$C$3:$E$3,0))</f>
      </c>
      <c r="G43">
        <f>F43*INDEX(Assumptions!$C:$E,MATCH("USDC readiness rate",Assumptions!$B:$B,0),MATCH(B43,Assumptions!$C$3:$E$3,0))</f>
      </c>
      <c r="H43">
        <f>G43*INDEX(Assumptions!$C:$E,MATCH("First purchase conversion",Assumptions!$B:$B,0),MATCH(B43,Assumptions!$C$3:$E$3,0))</f>
      </c>
      <c r="I43">
        <f>J42*INDEX(Assumptions!$C:$E,MATCH("Repeat purchase rate",Assumptions!$B:$B,0),MATCH(B43,Assumptions!$C$3:$E$3,0))</f>
      </c>
      <c r="J43">
        <f>H43+I43</f>
      </c>
    </row>
    <row r="44">
      <c r="A44">
        <v>7</v>
      </c>
      <c r="B44" t="inlineStr">
        <is>
          <t>Base</t>
        </is>
      </c>
      <c r="C44">
        <f>IF(A44&lt;7,1,IF(A44&lt;13,2,IF(A44&lt;24,3,4)))</f>
      </c>
      <c r="D44">
        <f>INDEX(Assumptions!$C:$E,MATCH("Starting monthly visits",Assumptions!$B:$B,0),MATCH(B44,Assumptions!$C$3:$E$3,0))*POWER(1+INDEX(Assumptions!$C:$E,MATCH("Monthly visit growth",Assumptions!$B:$B,0),MATCH(B44,Assumptions!$C$3:$E$3,0)),A44-1)*C44</f>
      </c>
      <c r="E44">
        <f>D44*INDEX(Assumptions!$C:$E,MATCH("Eligible user rate after geo/compliance",Assumptions!$B:$B,0),MATCH(B44,Assumptions!$C$3:$E$3,0))</f>
      </c>
      <c r="F44">
        <f>E44*INDEX(Assumptions!$C:$E,MATCH("Wallet connect rate",Assumptions!$B:$B,0),MATCH(B44,Assumptions!$C$3:$E$3,0))</f>
      </c>
      <c r="G44">
        <f>F44*INDEX(Assumptions!$C:$E,MATCH("USDC readiness rate",Assumptions!$B:$B,0),MATCH(B44,Assumptions!$C$3:$E$3,0))</f>
      </c>
      <c r="H44">
        <f>G44*INDEX(Assumptions!$C:$E,MATCH("First purchase conversion",Assumptions!$B:$B,0),MATCH(B44,Assumptions!$C$3:$E$3,0))</f>
      </c>
      <c r="I44">
        <f>J43*INDEX(Assumptions!$C:$E,MATCH("Repeat purchase rate",Assumptions!$B:$B,0),MATCH(B44,Assumptions!$C$3:$E$3,0))</f>
      </c>
      <c r="J44">
        <f>H44+I44</f>
      </c>
    </row>
    <row r="45">
      <c r="A45">
        <v>8</v>
      </c>
      <c r="B45" t="inlineStr">
        <is>
          <t>Base</t>
        </is>
      </c>
      <c r="C45">
        <f>IF(A45&lt;7,1,IF(A45&lt;13,2,IF(A45&lt;24,3,4)))</f>
      </c>
      <c r="D45">
        <f>INDEX(Assumptions!$C:$E,MATCH("Starting monthly visits",Assumptions!$B:$B,0),MATCH(B45,Assumptions!$C$3:$E$3,0))*POWER(1+INDEX(Assumptions!$C:$E,MATCH("Monthly visit growth",Assumptions!$B:$B,0),MATCH(B45,Assumptions!$C$3:$E$3,0)),A45-1)*C45</f>
      </c>
      <c r="E45">
        <f>D45*INDEX(Assumptions!$C:$E,MATCH("Eligible user rate after geo/compliance",Assumptions!$B:$B,0),MATCH(B45,Assumptions!$C$3:$E$3,0))</f>
      </c>
      <c r="F45">
        <f>E45*INDEX(Assumptions!$C:$E,MATCH("Wallet connect rate",Assumptions!$B:$B,0),MATCH(B45,Assumptions!$C$3:$E$3,0))</f>
      </c>
      <c r="G45">
        <f>F45*INDEX(Assumptions!$C:$E,MATCH("USDC readiness rate",Assumptions!$B:$B,0),MATCH(B45,Assumptions!$C$3:$E$3,0))</f>
      </c>
      <c r="H45">
        <f>G45*INDEX(Assumptions!$C:$E,MATCH("First purchase conversion",Assumptions!$B:$B,0),MATCH(B45,Assumptions!$C$3:$E$3,0))</f>
      </c>
      <c r="I45">
        <f>J44*INDEX(Assumptions!$C:$E,MATCH("Repeat purchase rate",Assumptions!$B:$B,0),MATCH(B45,Assumptions!$C$3:$E$3,0))</f>
      </c>
      <c r="J45">
        <f>H45+I45</f>
      </c>
    </row>
    <row r="46">
      <c r="A46">
        <v>9</v>
      </c>
      <c r="B46" t="inlineStr">
        <is>
          <t>Base</t>
        </is>
      </c>
      <c r="C46">
        <f>IF(A46&lt;7,1,IF(A46&lt;13,2,IF(A46&lt;24,3,4)))</f>
      </c>
      <c r="D46">
        <f>INDEX(Assumptions!$C:$E,MATCH("Starting monthly visits",Assumptions!$B:$B,0),MATCH(B46,Assumptions!$C$3:$E$3,0))*POWER(1+INDEX(Assumptions!$C:$E,MATCH("Monthly visit growth",Assumptions!$B:$B,0),MATCH(B46,Assumptions!$C$3:$E$3,0)),A46-1)*C46</f>
      </c>
      <c r="E46">
        <f>D46*INDEX(Assumptions!$C:$E,MATCH("Eligible user rate after geo/compliance",Assumptions!$B:$B,0),MATCH(B46,Assumptions!$C$3:$E$3,0))</f>
      </c>
      <c r="F46">
        <f>E46*INDEX(Assumptions!$C:$E,MATCH("Wallet connect rate",Assumptions!$B:$B,0),MATCH(B46,Assumptions!$C$3:$E$3,0))</f>
      </c>
      <c r="G46">
        <f>F46*INDEX(Assumptions!$C:$E,MATCH("USDC readiness rate",Assumptions!$B:$B,0),MATCH(B46,Assumptions!$C$3:$E$3,0))</f>
      </c>
      <c r="H46">
        <f>G46*INDEX(Assumptions!$C:$E,MATCH("First purchase conversion",Assumptions!$B:$B,0),MATCH(B46,Assumptions!$C$3:$E$3,0))</f>
      </c>
      <c r="I46">
        <f>J45*INDEX(Assumptions!$C:$E,MATCH("Repeat purchase rate",Assumptions!$B:$B,0),MATCH(B46,Assumptions!$C$3:$E$3,0))</f>
      </c>
      <c r="J46">
        <f>H46+I46</f>
      </c>
    </row>
    <row r="47">
      <c r="A47">
        <v>10</v>
      </c>
      <c r="B47" t="inlineStr">
        <is>
          <t>Base</t>
        </is>
      </c>
      <c r="C47">
        <f>IF(A47&lt;7,1,IF(A47&lt;13,2,IF(A47&lt;24,3,4)))</f>
      </c>
      <c r="D47">
        <f>INDEX(Assumptions!$C:$E,MATCH("Starting monthly visits",Assumptions!$B:$B,0),MATCH(B47,Assumptions!$C$3:$E$3,0))*POWER(1+INDEX(Assumptions!$C:$E,MATCH("Monthly visit growth",Assumptions!$B:$B,0),MATCH(B47,Assumptions!$C$3:$E$3,0)),A47-1)*C47</f>
      </c>
      <c r="E47">
        <f>D47*INDEX(Assumptions!$C:$E,MATCH("Eligible user rate after geo/compliance",Assumptions!$B:$B,0),MATCH(B47,Assumptions!$C$3:$E$3,0))</f>
      </c>
      <c r="F47">
        <f>E47*INDEX(Assumptions!$C:$E,MATCH("Wallet connect rate",Assumptions!$B:$B,0),MATCH(B47,Assumptions!$C$3:$E$3,0))</f>
      </c>
      <c r="G47">
        <f>F47*INDEX(Assumptions!$C:$E,MATCH("USDC readiness rate",Assumptions!$B:$B,0),MATCH(B47,Assumptions!$C$3:$E$3,0))</f>
      </c>
      <c r="H47">
        <f>G47*INDEX(Assumptions!$C:$E,MATCH("First purchase conversion",Assumptions!$B:$B,0),MATCH(B47,Assumptions!$C$3:$E$3,0))</f>
      </c>
      <c r="I47">
        <f>J46*INDEX(Assumptions!$C:$E,MATCH("Repeat purchase rate",Assumptions!$B:$B,0),MATCH(B47,Assumptions!$C$3:$E$3,0))</f>
      </c>
      <c r="J47">
        <f>H47+I47</f>
      </c>
    </row>
    <row r="48">
      <c r="A48">
        <v>11</v>
      </c>
      <c r="B48" t="inlineStr">
        <is>
          <t>Base</t>
        </is>
      </c>
      <c r="C48">
        <f>IF(A48&lt;7,1,IF(A48&lt;13,2,IF(A48&lt;24,3,4)))</f>
      </c>
      <c r="D48">
        <f>INDEX(Assumptions!$C:$E,MATCH("Starting monthly visits",Assumptions!$B:$B,0),MATCH(B48,Assumptions!$C$3:$E$3,0))*POWER(1+INDEX(Assumptions!$C:$E,MATCH("Monthly visit growth",Assumptions!$B:$B,0),MATCH(B48,Assumptions!$C$3:$E$3,0)),A48-1)*C48</f>
      </c>
      <c r="E48">
        <f>D48*INDEX(Assumptions!$C:$E,MATCH("Eligible user rate after geo/compliance",Assumptions!$B:$B,0),MATCH(B48,Assumptions!$C$3:$E$3,0))</f>
      </c>
      <c r="F48">
        <f>E48*INDEX(Assumptions!$C:$E,MATCH("Wallet connect rate",Assumptions!$B:$B,0),MATCH(B48,Assumptions!$C$3:$E$3,0))</f>
      </c>
      <c r="G48">
        <f>F48*INDEX(Assumptions!$C:$E,MATCH("USDC readiness rate",Assumptions!$B:$B,0),MATCH(B48,Assumptions!$C$3:$E$3,0))</f>
      </c>
      <c r="H48">
        <f>G48*INDEX(Assumptions!$C:$E,MATCH("First purchase conversion",Assumptions!$B:$B,0),MATCH(B48,Assumptions!$C$3:$E$3,0))</f>
      </c>
      <c r="I48">
        <f>J47*INDEX(Assumptions!$C:$E,MATCH("Repeat purchase rate",Assumptions!$B:$B,0),MATCH(B48,Assumptions!$C$3:$E$3,0))</f>
      </c>
      <c r="J48">
        <f>H48+I48</f>
      </c>
    </row>
    <row r="49">
      <c r="A49">
        <v>12</v>
      </c>
      <c r="B49" t="inlineStr">
        <is>
          <t>Base</t>
        </is>
      </c>
      <c r="C49">
        <f>IF(A49&lt;7,1,IF(A49&lt;13,2,IF(A49&lt;24,3,4)))</f>
      </c>
      <c r="D49">
        <f>INDEX(Assumptions!$C:$E,MATCH("Starting monthly visits",Assumptions!$B:$B,0),MATCH(B49,Assumptions!$C$3:$E$3,0))*POWER(1+INDEX(Assumptions!$C:$E,MATCH("Monthly visit growth",Assumptions!$B:$B,0),MATCH(B49,Assumptions!$C$3:$E$3,0)),A49-1)*C49</f>
      </c>
      <c r="E49">
        <f>D49*INDEX(Assumptions!$C:$E,MATCH("Eligible user rate after geo/compliance",Assumptions!$B:$B,0),MATCH(B49,Assumptions!$C$3:$E$3,0))</f>
      </c>
      <c r="F49">
        <f>E49*INDEX(Assumptions!$C:$E,MATCH("Wallet connect rate",Assumptions!$B:$B,0),MATCH(B49,Assumptions!$C$3:$E$3,0))</f>
      </c>
      <c r="G49">
        <f>F49*INDEX(Assumptions!$C:$E,MATCH("USDC readiness rate",Assumptions!$B:$B,0),MATCH(B49,Assumptions!$C$3:$E$3,0))</f>
      </c>
      <c r="H49">
        <f>G49*INDEX(Assumptions!$C:$E,MATCH("First purchase conversion",Assumptions!$B:$B,0),MATCH(B49,Assumptions!$C$3:$E$3,0))</f>
      </c>
      <c r="I49">
        <f>J48*INDEX(Assumptions!$C:$E,MATCH("Repeat purchase rate",Assumptions!$B:$B,0),MATCH(B49,Assumptions!$C$3:$E$3,0))</f>
      </c>
      <c r="J49">
        <f>H49+I49</f>
      </c>
    </row>
    <row r="50">
      <c r="A50">
        <v>13</v>
      </c>
      <c r="B50" t="inlineStr">
        <is>
          <t>Base</t>
        </is>
      </c>
      <c r="C50">
        <f>IF(A50&lt;7,1,IF(A50&lt;13,2,IF(A50&lt;24,3,4)))</f>
      </c>
      <c r="D50">
        <f>INDEX(Assumptions!$C:$E,MATCH("Starting monthly visits",Assumptions!$B:$B,0),MATCH(B50,Assumptions!$C$3:$E$3,0))*POWER(1+INDEX(Assumptions!$C:$E,MATCH("Monthly visit growth",Assumptions!$B:$B,0),MATCH(B50,Assumptions!$C$3:$E$3,0)),A50-1)*C50</f>
      </c>
      <c r="E50">
        <f>D50*INDEX(Assumptions!$C:$E,MATCH("Eligible user rate after geo/compliance",Assumptions!$B:$B,0),MATCH(B50,Assumptions!$C$3:$E$3,0))</f>
      </c>
      <c r="F50">
        <f>E50*INDEX(Assumptions!$C:$E,MATCH("Wallet connect rate",Assumptions!$B:$B,0),MATCH(B50,Assumptions!$C$3:$E$3,0))</f>
      </c>
      <c r="G50">
        <f>F50*INDEX(Assumptions!$C:$E,MATCH("USDC readiness rate",Assumptions!$B:$B,0),MATCH(B50,Assumptions!$C$3:$E$3,0))</f>
      </c>
      <c r="H50">
        <f>G50*INDEX(Assumptions!$C:$E,MATCH("First purchase conversion",Assumptions!$B:$B,0),MATCH(B50,Assumptions!$C$3:$E$3,0))</f>
      </c>
      <c r="I50">
        <f>J49*INDEX(Assumptions!$C:$E,MATCH("Repeat purchase rate",Assumptions!$B:$B,0),MATCH(B50,Assumptions!$C$3:$E$3,0))</f>
      </c>
      <c r="J50">
        <f>H50+I50</f>
      </c>
    </row>
    <row r="51">
      <c r="A51">
        <v>14</v>
      </c>
      <c r="B51" t="inlineStr">
        <is>
          <t>Base</t>
        </is>
      </c>
      <c r="C51">
        <f>IF(A51&lt;7,1,IF(A51&lt;13,2,IF(A51&lt;24,3,4)))</f>
      </c>
      <c r="D51">
        <f>INDEX(Assumptions!$C:$E,MATCH("Starting monthly visits",Assumptions!$B:$B,0),MATCH(B51,Assumptions!$C$3:$E$3,0))*POWER(1+INDEX(Assumptions!$C:$E,MATCH("Monthly visit growth",Assumptions!$B:$B,0),MATCH(B51,Assumptions!$C$3:$E$3,0)),A51-1)*C51</f>
      </c>
      <c r="E51">
        <f>D51*INDEX(Assumptions!$C:$E,MATCH("Eligible user rate after geo/compliance",Assumptions!$B:$B,0),MATCH(B51,Assumptions!$C$3:$E$3,0))</f>
      </c>
      <c r="F51">
        <f>E51*INDEX(Assumptions!$C:$E,MATCH("Wallet connect rate",Assumptions!$B:$B,0),MATCH(B51,Assumptions!$C$3:$E$3,0))</f>
      </c>
      <c r="G51">
        <f>F51*INDEX(Assumptions!$C:$E,MATCH("USDC readiness rate",Assumptions!$B:$B,0),MATCH(B51,Assumptions!$C$3:$E$3,0))</f>
      </c>
      <c r="H51">
        <f>G51*INDEX(Assumptions!$C:$E,MATCH("First purchase conversion",Assumptions!$B:$B,0),MATCH(B51,Assumptions!$C$3:$E$3,0))</f>
      </c>
      <c r="I51">
        <f>J50*INDEX(Assumptions!$C:$E,MATCH("Repeat purchase rate",Assumptions!$B:$B,0),MATCH(B51,Assumptions!$C$3:$E$3,0))</f>
      </c>
      <c r="J51">
        <f>H51+I51</f>
      </c>
    </row>
    <row r="52">
      <c r="A52">
        <v>15</v>
      </c>
      <c r="B52" t="inlineStr">
        <is>
          <t>Base</t>
        </is>
      </c>
      <c r="C52">
        <f>IF(A52&lt;7,1,IF(A52&lt;13,2,IF(A52&lt;24,3,4)))</f>
      </c>
      <c r="D52">
        <f>INDEX(Assumptions!$C:$E,MATCH("Starting monthly visits",Assumptions!$B:$B,0),MATCH(B52,Assumptions!$C$3:$E$3,0))*POWER(1+INDEX(Assumptions!$C:$E,MATCH("Monthly visit growth",Assumptions!$B:$B,0),MATCH(B52,Assumptions!$C$3:$E$3,0)),A52-1)*C52</f>
      </c>
      <c r="E52">
        <f>D52*INDEX(Assumptions!$C:$E,MATCH("Eligible user rate after geo/compliance",Assumptions!$B:$B,0),MATCH(B52,Assumptions!$C$3:$E$3,0))</f>
      </c>
      <c r="F52">
        <f>E52*INDEX(Assumptions!$C:$E,MATCH("Wallet connect rate",Assumptions!$B:$B,0),MATCH(B52,Assumptions!$C$3:$E$3,0))</f>
      </c>
      <c r="G52">
        <f>F52*INDEX(Assumptions!$C:$E,MATCH("USDC readiness rate",Assumptions!$B:$B,0),MATCH(B52,Assumptions!$C$3:$E$3,0))</f>
      </c>
      <c r="H52">
        <f>G52*INDEX(Assumptions!$C:$E,MATCH("First purchase conversion",Assumptions!$B:$B,0),MATCH(B52,Assumptions!$C$3:$E$3,0))</f>
      </c>
      <c r="I52">
        <f>J51*INDEX(Assumptions!$C:$E,MATCH("Repeat purchase rate",Assumptions!$B:$B,0),MATCH(B52,Assumptions!$C$3:$E$3,0))</f>
      </c>
      <c r="J52">
        <f>H52+I52</f>
      </c>
    </row>
    <row r="53">
      <c r="A53">
        <v>16</v>
      </c>
      <c r="B53" t="inlineStr">
        <is>
          <t>Base</t>
        </is>
      </c>
      <c r="C53">
        <f>IF(A53&lt;7,1,IF(A53&lt;13,2,IF(A53&lt;24,3,4)))</f>
      </c>
      <c r="D53">
        <f>INDEX(Assumptions!$C:$E,MATCH("Starting monthly visits",Assumptions!$B:$B,0),MATCH(B53,Assumptions!$C$3:$E$3,0))*POWER(1+INDEX(Assumptions!$C:$E,MATCH("Monthly visit growth",Assumptions!$B:$B,0),MATCH(B53,Assumptions!$C$3:$E$3,0)),A53-1)*C53</f>
      </c>
      <c r="E53">
        <f>D53*INDEX(Assumptions!$C:$E,MATCH("Eligible user rate after geo/compliance",Assumptions!$B:$B,0),MATCH(B53,Assumptions!$C$3:$E$3,0))</f>
      </c>
      <c r="F53">
        <f>E53*INDEX(Assumptions!$C:$E,MATCH("Wallet connect rate",Assumptions!$B:$B,0),MATCH(B53,Assumptions!$C$3:$E$3,0))</f>
      </c>
      <c r="G53">
        <f>F53*INDEX(Assumptions!$C:$E,MATCH("USDC readiness rate",Assumptions!$B:$B,0),MATCH(B53,Assumptions!$C$3:$E$3,0))</f>
      </c>
      <c r="H53">
        <f>G53*INDEX(Assumptions!$C:$E,MATCH("First purchase conversion",Assumptions!$B:$B,0),MATCH(B53,Assumptions!$C$3:$E$3,0))</f>
      </c>
      <c r="I53">
        <f>J52*INDEX(Assumptions!$C:$E,MATCH("Repeat purchase rate",Assumptions!$B:$B,0),MATCH(B53,Assumptions!$C$3:$E$3,0))</f>
      </c>
      <c r="J53">
        <f>H53+I53</f>
      </c>
    </row>
    <row r="54">
      <c r="A54">
        <v>17</v>
      </c>
      <c r="B54" t="inlineStr">
        <is>
          <t>Base</t>
        </is>
      </c>
      <c r="C54">
        <f>IF(A54&lt;7,1,IF(A54&lt;13,2,IF(A54&lt;24,3,4)))</f>
      </c>
      <c r="D54">
        <f>INDEX(Assumptions!$C:$E,MATCH("Starting monthly visits",Assumptions!$B:$B,0),MATCH(B54,Assumptions!$C$3:$E$3,0))*POWER(1+INDEX(Assumptions!$C:$E,MATCH("Monthly visit growth",Assumptions!$B:$B,0),MATCH(B54,Assumptions!$C$3:$E$3,0)),A54-1)*C54</f>
      </c>
      <c r="E54">
        <f>D54*INDEX(Assumptions!$C:$E,MATCH("Eligible user rate after geo/compliance",Assumptions!$B:$B,0),MATCH(B54,Assumptions!$C$3:$E$3,0))</f>
      </c>
      <c r="F54">
        <f>E54*INDEX(Assumptions!$C:$E,MATCH("Wallet connect rate",Assumptions!$B:$B,0),MATCH(B54,Assumptions!$C$3:$E$3,0))</f>
      </c>
      <c r="G54">
        <f>F54*INDEX(Assumptions!$C:$E,MATCH("USDC readiness rate",Assumptions!$B:$B,0),MATCH(B54,Assumptions!$C$3:$E$3,0))</f>
      </c>
      <c r="H54">
        <f>G54*INDEX(Assumptions!$C:$E,MATCH("First purchase conversion",Assumptions!$B:$B,0),MATCH(B54,Assumptions!$C$3:$E$3,0))</f>
      </c>
      <c r="I54">
        <f>J53*INDEX(Assumptions!$C:$E,MATCH("Repeat purchase rate",Assumptions!$B:$B,0),MATCH(B54,Assumptions!$C$3:$E$3,0))</f>
      </c>
      <c r="J54">
        <f>H54+I54</f>
      </c>
    </row>
    <row r="55">
      <c r="A55">
        <v>18</v>
      </c>
      <c r="B55" t="inlineStr">
        <is>
          <t>Base</t>
        </is>
      </c>
      <c r="C55">
        <f>IF(A55&lt;7,1,IF(A55&lt;13,2,IF(A55&lt;24,3,4)))</f>
      </c>
      <c r="D55">
        <f>INDEX(Assumptions!$C:$E,MATCH("Starting monthly visits",Assumptions!$B:$B,0),MATCH(B55,Assumptions!$C$3:$E$3,0))*POWER(1+INDEX(Assumptions!$C:$E,MATCH("Monthly visit growth",Assumptions!$B:$B,0),MATCH(B55,Assumptions!$C$3:$E$3,0)),A55-1)*C55</f>
      </c>
      <c r="E55">
        <f>D55*INDEX(Assumptions!$C:$E,MATCH("Eligible user rate after geo/compliance",Assumptions!$B:$B,0),MATCH(B55,Assumptions!$C$3:$E$3,0))</f>
      </c>
      <c r="F55">
        <f>E55*INDEX(Assumptions!$C:$E,MATCH("Wallet connect rate",Assumptions!$B:$B,0),MATCH(B55,Assumptions!$C$3:$E$3,0))</f>
      </c>
      <c r="G55">
        <f>F55*INDEX(Assumptions!$C:$E,MATCH("USDC readiness rate",Assumptions!$B:$B,0),MATCH(B55,Assumptions!$C$3:$E$3,0))</f>
      </c>
      <c r="H55">
        <f>G55*INDEX(Assumptions!$C:$E,MATCH("First purchase conversion",Assumptions!$B:$B,0),MATCH(B55,Assumptions!$C$3:$E$3,0))</f>
      </c>
      <c r="I55">
        <f>J54*INDEX(Assumptions!$C:$E,MATCH("Repeat purchase rate",Assumptions!$B:$B,0),MATCH(B55,Assumptions!$C$3:$E$3,0))</f>
      </c>
      <c r="J55">
        <f>H55+I55</f>
      </c>
    </row>
    <row r="56">
      <c r="A56">
        <v>19</v>
      </c>
      <c r="B56" t="inlineStr">
        <is>
          <t>Base</t>
        </is>
      </c>
      <c r="C56">
        <f>IF(A56&lt;7,1,IF(A56&lt;13,2,IF(A56&lt;24,3,4)))</f>
      </c>
      <c r="D56">
        <f>INDEX(Assumptions!$C:$E,MATCH("Starting monthly visits",Assumptions!$B:$B,0),MATCH(B56,Assumptions!$C$3:$E$3,0))*POWER(1+INDEX(Assumptions!$C:$E,MATCH("Monthly visit growth",Assumptions!$B:$B,0),MATCH(B56,Assumptions!$C$3:$E$3,0)),A56-1)*C56</f>
      </c>
      <c r="E56">
        <f>D56*INDEX(Assumptions!$C:$E,MATCH("Eligible user rate after geo/compliance",Assumptions!$B:$B,0),MATCH(B56,Assumptions!$C$3:$E$3,0))</f>
      </c>
      <c r="F56">
        <f>E56*INDEX(Assumptions!$C:$E,MATCH("Wallet connect rate",Assumptions!$B:$B,0),MATCH(B56,Assumptions!$C$3:$E$3,0))</f>
      </c>
      <c r="G56">
        <f>F56*INDEX(Assumptions!$C:$E,MATCH("USDC readiness rate",Assumptions!$B:$B,0),MATCH(B56,Assumptions!$C$3:$E$3,0))</f>
      </c>
      <c r="H56">
        <f>G56*INDEX(Assumptions!$C:$E,MATCH("First purchase conversion",Assumptions!$B:$B,0),MATCH(B56,Assumptions!$C$3:$E$3,0))</f>
      </c>
      <c r="I56">
        <f>J55*INDEX(Assumptions!$C:$E,MATCH("Repeat purchase rate",Assumptions!$B:$B,0),MATCH(B56,Assumptions!$C$3:$E$3,0))</f>
      </c>
      <c r="J56">
        <f>H56+I56</f>
      </c>
    </row>
    <row r="57">
      <c r="A57">
        <v>20</v>
      </c>
      <c r="B57" t="inlineStr">
        <is>
          <t>Base</t>
        </is>
      </c>
      <c r="C57">
        <f>IF(A57&lt;7,1,IF(A57&lt;13,2,IF(A57&lt;24,3,4)))</f>
      </c>
      <c r="D57">
        <f>INDEX(Assumptions!$C:$E,MATCH("Starting monthly visits",Assumptions!$B:$B,0),MATCH(B57,Assumptions!$C$3:$E$3,0))*POWER(1+INDEX(Assumptions!$C:$E,MATCH("Monthly visit growth",Assumptions!$B:$B,0),MATCH(B57,Assumptions!$C$3:$E$3,0)),A57-1)*C57</f>
      </c>
      <c r="E57">
        <f>D57*INDEX(Assumptions!$C:$E,MATCH("Eligible user rate after geo/compliance",Assumptions!$B:$B,0),MATCH(B57,Assumptions!$C$3:$E$3,0))</f>
      </c>
      <c r="F57">
        <f>E57*INDEX(Assumptions!$C:$E,MATCH("Wallet connect rate",Assumptions!$B:$B,0),MATCH(B57,Assumptions!$C$3:$E$3,0))</f>
      </c>
      <c r="G57">
        <f>F57*INDEX(Assumptions!$C:$E,MATCH("USDC readiness rate",Assumptions!$B:$B,0),MATCH(B57,Assumptions!$C$3:$E$3,0))</f>
      </c>
      <c r="H57">
        <f>G57*INDEX(Assumptions!$C:$E,MATCH("First purchase conversion",Assumptions!$B:$B,0),MATCH(B57,Assumptions!$C$3:$E$3,0))</f>
      </c>
      <c r="I57">
        <f>J56*INDEX(Assumptions!$C:$E,MATCH("Repeat purchase rate",Assumptions!$B:$B,0),MATCH(B57,Assumptions!$C$3:$E$3,0))</f>
      </c>
      <c r="J57">
        <f>H57+I57</f>
      </c>
    </row>
    <row r="58">
      <c r="A58">
        <v>21</v>
      </c>
      <c r="B58" t="inlineStr">
        <is>
          <t>Base</t>
        </is>
      </c>
      <c r="C58">
        <f>IF(A58&lt;7,1,IF(A58&lt;13,2,IF(A58&lt;24,3,4)))</f>
      </c>
      <c r="D58">
        <f>INDEX(Assumptions!$C:$E,MATCH("Starting monthly visits",Assumptions!$B:$B,0),MATCH(B58,Assumptions!$C$3:$E$3,0))*POWER(1+INDEX(Assumptions!$C:$E,MATCH("Monthly visit growth",Assumptions!$B:$B,0),MATCH(B58,Assumptions!$C$3:$E$3,0)),A58-1)*C58</f>
      </c>
      <c r="E58">
        <f>D58*INDEX(Assumptions!$C:$E,MATCH("Eligible user rate after geo/compliance",Assumptions!$B:$B,0),MATCH(B58,Assumptions!$C$3:$E$3,0))</f>
      </c>
      <c r="F58">
        <f>E58*INDEX(Assumptions!$C:$E,MATCH("Wallet connect rate",Assumptions!$B:$B,0),MATCH(B58,Assumptions!$C$3:$E$3,0))</f>
      </c>
      <c r="G58">
        <f>F58*INDEX(Assumptions!$C:$E,MATCH("USDC readiness rate",Assumptions!$B:$B,0),MATCH(B58,Assumptions!$C$3:$E$3,0))</f>
      </c>
      <c r="H58">
        <f>G58*INDEX(Assumptions!$C:$E,MATCH("First purchase conversion",Assumptions!$B:$B,0),MATCH(B58,Assumptions!$C$3:$E$3,0))</f>
      </c>
      <c r="I58">
        <f>J57*INDEX(Assumptions!$C:$E,MATCH("Repeat purchase rate",Assumptions!$B:$B,0),MATCH(B58,Assumptions!$C$3:$E$3,0))</f>
      </c>
      <c r="J58">
        <f>H58+I58</f>
      </c>
    </row>
    <row r="59">
      <c r="A59">
        <v>22</v>
      </c>
      <c r="B59" t="inlineStr">
        <is>
          <t>Base</t>
        </is>
      </c>
      <c r="C59">
        <f>IF(A59&lt;7,1,IF(A59&lt;13,2,IF(A59&lt;24,3,4)))</f>
      </c>
      <c r="D59">
        <f>INDEX(Assumptions!$C:$E,MATCH("Starting monthly visits",Assumptions!$B:$B,0),MATCH(B59,Assumptions!$C$3:$E$3,0))*POWER(1+INDEX(Assumptions!$C:$E,MATCH("Monthly visit growth",Assumptions!$B:$B,0),MATCH(B59,Assumptions!$C$3:$E$3,0)),A59-1)*C59</f>
      </c>
      <c r="E59">
        <f>D59*INDEX(Assumptions!$C:$E,MATCH("Eligible user rate after geo/compliance",Assumptions!$B:$B,0),MATCH(B59,Assumptions!$C$3:$E$3,0))</f>
      </c>
      <c r="F59">
        <f>E59*INDEX(Assumptions!$C:$E,MATCH("Wallet connect rate",Assumptions!$B:$B,0),MATCH(B59,Assumptions!$C$3:$E$3,0))</f>
      </c>
      <c r="G59">
        <f>F59*INDEX(Assumptions!$C:$E,MATCH("USDC readiness rate",Assumptions!$B:$B,0),MATCH(B59,Assumptions!$C$3:$E$3,0))</f>
      </c>
      <c r="H59">
        <f>G59*INDEX(Assumptions!$C:$E,MATCH("First purchase conversion",Assumptions!$B:$B,0),MATCH(B59,Assumptions!$C$3:$E$3,0))</f>
      </c>
      <c r="I59">
        <f>J58*INDEX(Assumptions!$C:$E,MATCH("Repeat purchase rate",Assumptions!$B:$B,0),MATCH(B59,Assumptions!$C$3:$E$3,0))</f>
      </c>
      <c r="J59">
        <f>H59+I59</f>
      </c>
    </row>
    <row r="60">
      <c r="A60">
        <v>23</v>
      </c>
      <c r="B60" t="inlineStr">
        <is>
          <t>Base</t>
        </is>
      </c>
      <c r="C60">
        <f>IF(A60&lt;7,1,IF(A60&lt;13,2,IF(A60&lt;24,3,4)))</f>
      </c>
      <c r="D60">
        <f>INDEX(Assumptions!$C:$E,MATCH("Starting monthly visits",Assumptions!$B:$B,0),MATCH(B60,Assumptions!$C$3:$E$3,0))*POWER(1+INDEX(Assumptions!$C:$E,MATCH("Monthly visit growth",Assumptions!$B:$B,0),MATCH(B60,Assumptions!$C$3:$E$3,0)),A60-1)*C60</f>
      </c>
      <c r="E60">
        <f>D60*INDEX(Assumptions!$C:$E,MATCH("Eligible user rate after geo/compliance",Assumptions!$B:$B,0),MATCH(B60,Assumptions!$C$3:$E$3,0))</f>
      </c>
      <c r="F60">
        <f>E60*INDEX(Assumptions!$C:$E,MATCH("Wallet connect rate",Assumptions!$B:$B,0),MATCH(B60,Assumptions!$C$3:$E$3,0))</f>
      </c>
      <c r="G60">
        <f>F60*INDEX(Assumptions!$C:$E,MATCH("USDC readiness rate",Assumptions!$B:$B,0),MATCH(B60,Assumptions!$C$3:$E$3,0))</f>
      </c>
      <c r="H60">
        <f>G60*INDEX(Assumptions!$C:$E,MATCH("First purchase conversion",Assumptions!$B:$B,0),MATCH(B60,Assumptions!$C$3:$E$3,0))</f>
      </c>
      <c r="I60">
        <f>J59*INDEX(Assumptions!$C:$E,MATCH("Repeat purchase rate",Assumptions!$B:$B,0),MATCH(B60,Assumptions!$C$3:$E$3,0))</f>
      </c>
      <c r="J60">
        <f>H60+I60</f>
      </c>
    </row>
    <row r="61">
      <c r="A61">
        <v>24</v>
      </c>
      <c r="B61" t="inlineStr">
        <is>
          <t>Base</t>
        </is>
      </c>
      <c r="C61">
        <f>IF(A61&lt;7,1,IF(A61&lt;13,2,IF(A61&lt;24,3,4)))</f>
      </c>
      <c r="D61">
        <f>INDEX(Assumptions!$C:$E,MATCH("Starting monthly visits",Assumptions!$B:$B,0),MATCH(B61,Assumptions!$C$3:$E$3,0))*POWER(1+INDEX(Assumptions!$C:$E,MATCH("Monthly visit growth",Assumptions!$B:$B,0),MATCH(B61,Assumptions!$C$3:$E$3,0)),A61-1)*C61</f>
      </c>
      <c r="E61">
        <f>D61*INDEX(Assumptions!$C:$E,MATCH("Eligible user rate after geo/compliance",Assumptions!$B:$B,0),MATCH(B61,Assumptions!$C$3:$E$3,0))</f>
      </c>
      <c r="F61">
        <f>E61*INDEX(Assumptions!$C:$E,MATCH("Wallet connect rate",Assumptions!$B:$B,0),MATCH(B61,Assumptions!$C$3:$E$3,0))</f>
      </c>
      <c r="G61">
        <f>F61*INDEX(Assumptions!$C:$E,MATCH("USDC readiness rate",Assumptions!$B:$B,0),MATCH(B61,Assumptions!$C$3:$E$3,0))</f>
      </c>
      <c r="H61">
        <f>G61*INDEX(Assumptions!$C:$E,MATCH("First purchase conversion",Assumptions!$B:$B,0),MATCH(B61,Assumptions!$C$3:$E$3,0))</f>
      </c>
      <c r="I61">
        <f>J60*INDEX(Assumptions!$C:$E,MATCH("Repeat purchase rate",Assumptions!$B:$B,0),MATCH(B61,Assumptions!$C$3:$E$3,0))</f>
      </c>
      <c r="J61">
        <f>H61+I61</f>
      </c>
    </row>
    <row r="62">
      <c r="A62">
        <v>25</v>
      </c>
      <c r="B62" t="inlineStr">
        <is>
          <t>Base</t>
        </is>
      </c>
      <c r="C62">
        <f>IF(A62&lt;7,1,IF(A62&lt;13,2,IF(A62&lt;24,3,4)))</f>
      </c>
      <c r="D62">
        <f>INDEX(Assumptions!$C:$E,MATCH("Starting monthly visits",Assumptions!$B:$B,0),MATCH(B62,Assumptions!$C$3:$E$3,0))*POWER(1+INDEX(Assumptions!$C:$E,MATCH("Monthly visit growth",Assumptions!$B:$B,0),MATCH(B62,Assumptions!$C$3:$E$3,0)),A62-1)*C62</f>
      </c>
      <c r="E62">
        <f>D62*INDEX(Assumptions!$C:$E,MATCH("Eligible user rate after geo/compliance",Assumptions!$B:$B,0),MATCH(B62,Assumptions!$C$3:$E$3,0))</f>
      </c>
      <c r="F62">
        <f>E62*INDEX(Assumptions!$C:$E,MATCH("Wallet connect rate",Assumptions!$B:$B,0),MATCH(B62,Assumptions!$C$3:$E$3,0))</f>
      </c>
      <c r="G62">
        <f>F62*INDEX(Assumptions!$C:$E,MATCH("USDC readiness rate",Assumptions!$B:$B,0),MATCH(B62,Assumptions!$C$3:$E$3,0))</f>
      </c>
      <c r="H62">
        <f>G62*INDEX(Assumptions!$C:$E,MATCH("First purchase conversion",Assumptions!$B:$B,0),MATCH(B62,Assumptions!$C$3:$E$3,0))</f>
      </c>
      <c r="I62">
        <f>J61*INDEX(Assumptions!$C:$E,MATCH("Repeat purchase rate",Assumptions!$B:$B,0),MATCH(B62,Assumptions!$C$3:$E$3,0))</f>
      </c>
      <c r="J62">
        <f>H62+I62</f>
      </c>
    </row>
    <row r="63">
      <c r="A63">
        <v>26</v>
      </c>
      <c r="B63" t="inlineStr">
        <is>
          <t>Base</t>
        </is>
      </c>
      <c r="C63">
        <f>IF(A63&lt;7,1,IF(A63&lt;13,2,IF(A63&lt;24,3,4)))</f>
      </c>
      <c r="D63">
        <f>INDEX(Assumptions!$C:$E,MATCH("Starting monthly visits",Assumptions!$B:$B,0),MATCH(B63,Assumptions!$C$3:$E$3,0))*POWER(1+INDEX(Assumptions!$C:$E,MATCH("Monthly visit growth",Assumptions!$B:$B,0),MATCH(B63,Assumptions!$C$3:$E$3,0)),A63-1)*C63</f>
      </c>
      <c r="E63">
        <f>D63*INDEX(Assumptions!$C:$E,MATCH("Eligible user rate after geo/compliance",Assumptions!$B:$B,0),MATCH(B63,Assumptions!$C$3:$E$3,0))</f>
      </c>
      <c r="F63">
        <f>E63*INDEX(Assumptions!$C:$E,MATCH("Wallet connect rate",Assumptions!$B:$B,0),MATCH(B63,Assumptions!$C$3:$E$3,0))</f>
      </c>
      <c r="G63">
        <f>F63*INDEX(Assumptions!$C:$E,MATCH("USDC readiness rate",Assumptions!$B:$B,0),MATCH(B63,Assumptions!$C$3:$E$3,0))</f>
      </c>
      <c r="H63">
        <f>G63*INDEX(Assumptions!$C:$E,MATCH("First purchase conversion",Assumptions!$B:$B,0),MATCH(B63,Assumptions!$C$3:$E$3,0))</f>
      </c>
      <c r="I63">
        <f>J62*INDEX(Assumptions!$C:$E,MATCH("Repeat purchase rate",Assumptions!$B:$B,0),MATCH(B63,Assumptions!$C$3:$E$3,0))</f>
      </c>
      <c r="J63">
        <f>H63+I63</f>
      </c>
    </row>
    <row r="64">
      <c r="A64">
        <v>27</v>
      </c>
      <c r="B64" t="inlineStr">
        <is>
          <t>Base</t>
        </is>
      </c>
      <c r="C64">
        <f>IF(A64&lt;7,1,IF(A64&lt;13,2,IF(A64&lt;24,3,4)))</f>
      </c>
      <c r="D64">
        <f>INDEX(Assumptions!$C:$E,MATCH("Starting monthly visits",Assumptions!$B:$B,0),MATCH(B64,Assumptions!$C$3:$E$3,0))*POWER(1+INDEX(Assumptions!$C:$E,MATCH("Monthly visit growth",Assumptions!$B:$B,0),MATCH(B64,Assumptions!$C$3:$E$3,0)),A64-1)*C64</f>
      </c>
      <c r="E64">
        <f>D64*INDEX(Assumptions!$C:$E,MATCH("Eligible user rate after geo/compliance",Assumptions!$B:$B,0),MATCH(B64,Assumptions!$C$3:$E$3,0))</f>
      </c>
      <c r="F64">
        <f>E64*INDEX(Assumptions!$C:$E,MATCH("Wallet connect rate",Assumptions!$B:$B,0),MATCH(B64,Assumptions!$C$3:$E$3,0))</f>
      </c>
      <c r="G64">
        <f>F64*INDEX(Assumptions!$C:$E,MATCH("USDC readiness rate",Assumptions!$B:$B,0),MATCH(B64,Assumptions!$C$3:$E$3,0))</f>
      </c>
      <c r="H64">
        <f>G64*INDEX(Assumptions!$C:$E,MATCH("First purchase conversion",Assumptions!$B:$B,0),MATCH(B64,Assumptions!$C$3:$E$3,0))</f>
      </c>
      <c r="I64">
        <f>J63*INDEX(Assumptions!$C:$E,MATCH("Repeat purchase rate",Assumptions!$B:$B,0),MATCH(B64,Assumptions!$C$3:$E$3,0))</f>
      </c>
      <c r="J64">
        <f>H64+I64</f>
      </c>
    </row>
    <row r="65">
      <c r="A65">
        <v>28</v>
      </c>
      <c r="B65" t="inlineStr">
        <is>
          <t>Base</t>
        </is>
      </c>
      <c r="C65">
        <f>IF(A65&lt;7,1,IF(A65&lt;13,2,IF(A65&lt;24,3,4)))</f>
      </c>
      <c r="D65">
        <f>INDEX(Assumptions!$C:$E,MATCH("Starting monthly visits",Assumptions!$B:$B,0),MATCH(B65,Assumptions!$C$3:$E$3,0))*POWER(1+INDEX(Assumptions!$C:$E,MATCH("Monthly visit growth",Assumptions!$B:$B,0),MATCH(B65,Assumptions!$C$3:$E$3,0)),A65-1)*C65</f>
      </c>
      <c r="E65">
        <f>D65*INDEX(Assumptions!$C:$E,MATCH("Eligible user rate after geo/compliance",Assumptions!$B:$B,0),MATCH(B65,Assumptions!$C$3:$E$3,0))</f>
      </c>
      <c r="F65">
        <f>E65*INDEX(Assumptions!$C:$E,MATCH("Wallet connect rate",Assumptions!$B:$B,0),MATCH(B65,Assumptions!$C$3:$E$3,0))</f>
      </c>
      <c r="G65">
        <f>F65*INDEX(Assumptions!$C:$E,MATCH("USDC readiness rate",Assumptions!$B:$B,0),MATCH(B65,Assumptions!$C$3:$E$3,0))</f>
      </c>
      <c r="H65">
        <f>G65*INDEX(Assumptions!$C:$E,MATCH("First purchase conversion",Assumptions!$B:$B,0),MATCH(B65,Assumptions!$C$3:$E$3,0))</f>
      </c>
      <c r="I65">
        <f>J64*INDEX(Assumptions!$C:$E,MATCH("Repeat purchase rate",Assumptions!$B:$B,0),MATCH(B65,Assumptions!$C$3:$E$3,0))</f>
      </c>
      <c r="J65">
        <f>H65+I65</f>
      </c>
    </row>
    <row r="66">
      <c r="A66">
        <v>29</v>
      </c>
      <c r="B66" t="inlineStr">
        <is>
          <t>Base</t>
        </is>
      </c>
      <c r="C66">
        <f>IF(A66&lt;7,1,IF(A66&lt;13,2,IF(A66&lt;24,3,4)))</f>
      </c>
      <c r="D66">
        <f>INDEX(Assumptions!$C:$E,MATCH("Starting monthly visits",Assumptions!$B:$B,0),MATCH(B66,Assumptions!$C$3:$E$3,0))*POWER(1+INDEX(Assumptions!$C:$E,MATCH("Monthly visit growth",Assumptions!$B:$B,0),MATCH(B66,Assumptions!$C$3:$E$3,0)),A66-1)*C66</f>
      </c>
      <c r="E66">
        <f>D66*INDEX(Assumptions!$C:$E,MATCH("Eligible user rate after geo/compliance",Assumptions!$B:$B,0),MATCH(B66,Assumptions!$C$3:$E$3,0))</f>
      </c>
      <c r="F66">
        <f>E66*INDEX(Assumptions!$C:$E,MATCH("Wallet connect rate",Assumptions!$B:$B,0),MATCH(B66,Assumptions!$C$3:$E$3,0))</f>
      </c>
      <c r="G66">
        <f>F66*INDEX(Assumptions!$C:$E,MATCH("USDC readiness rate",Assumptions!$B:$B,0),MATCH(B66,Assumptions!$C$3:$E$3,0))</f>
      </c>
      <c r="H66">
        <f>G66*INDEX(Assumptions!$C:$E,MATCH("First purchase conversion",Assumptions!$B:$B,0),MATCH(B66,Assumptions!$C$3:$E$3,0))</f>
      </c>
      <c r="I66">
        <f>J65*INDEX(Assumptions!$C:$E,MATCH("Repeat purchase rate",Assumptions!$B:$B,0),MATCH(B66,Assumptions!$C$3:$E$3,0))</f>
      </c>
      <c r="J66">
        <f>H66+I66</f>
      </c>
    </row>
    <row r="67">
      <c r="A67">
        <v>30</v>
      </c>
      <c r="B67" t="inlineStr">
        <is>
          <t>Base</t>
        </is>
      </c>
      <c r="C67">
        <f>IF(A67&lt;7,1,IF(A67&lt;13,2,IF(A67&lt;24,3,4)))</f>
      </c>
      <c r="D67">
        <f>INDEX(Assumptions!$C:$E,MATCH("Starting monthly visits",Assumptions!$B:$B,0),MATCH(B67,Assumptions!$C$3:$E$3,0))*POWER(1+INDEX(Assumptions!$C:$E,MATCH("Monthly visit growth",Assumptions!$B:$B,0),MATCH(B67,Assumptions!$C$3:$E$3,0)),A67-1)*C67</f>
      </c>
      <c r="E67">
        <f>D67*INDEX(Assumptions!$C:$E,MATCH("Eligible user rate after geo/compliance",Assumptions!$B:$B,0),MATCH(B67,Assumptions!$C$3:$E$3,0))</f>
      </c>
      <c r="F67">
        <f>E67*INDEX(Assumptions!$C:$E,MATCH("Wallet connect rate",Assumptions!$B:$B,0),MATCH(B67,Assumptions!$C$3:$E$3,0))</f>
      </c>
      <c r="G67">
        <f>F67*INDEX(Assumptions!$C:$E,MATCH("USDC readiness rate",Assumptions!$B:$B,0),MATCH(B67,Assumptions!$C$3:$E$3,0))</f>
      </c>
      <c r="H67">
        <f>G67*INDEX(Assumptions!$C:$E,MATCH("First purchase conversion",Assumptions!$B:$B,0),MATCH(B67,Assumptions!$C$3:$E$3,0))</f>
      </c>
      <c r="I67">
        <f>J66*INDEX(Assumptions!$C:$E,MATCH("Repeat purchase rate",Assumptions!$B:$B,0),MATCH(B67,Assumptions!$C$3:$E$3,0))</f>
      </c>
      <c r="J67">
        <f>H67+I67</f>
      </c>
    </row>
    <row r="68">
      <c r="A68">
        <v>31</v>
      </c>
      <c r="B68" t="inlineStr">
        <is>
          <t>Base</t>
        </is>
      </c>
      <c r="C68">
        <f>IF(A68&lt;7,1,IF(A68&lt;13,2,IF(A68&lt;24,3,4)))</f>
      </c>
      <c r="D68">
        <f>INDEX(Assumptions!$C:$E,MATCH("Starting monthly visits",Assumptions!$B:$B,0),MATCH(B68,Assumptions!$C$3:$E$3,0))*POWER(1+INDEX(Assumptions!$C:$E,MATCH("Monthly visit growth",Assumptions!$B:$B,0),MATCH(B68,Assumptions!$C$3:$E$3,0)),A68-1)*C68</f>
      </c>
      <c r="E68">
        <f>D68*INDEX(Assumptions!$C:$E,MATCH("Eligible user rate after geo/compliance",Assumptions!$B:$B,0),MATCH(B68,Assumptions!$C$3:$E$3,0))</f>
      </c>
      <c r="F68">
        <f>E68*INDEX(Assumptions!$C:$E,MATCH("Wallet connect rate",Assumptions!$B:$B,0),MATCH(B68,Assumptions!$C$3:$E$3,0))</f>
      </c>
      <c r="G68">
        <f>F68*INDEX(Assumptions!$C:$E,MATCH("USDC readiness rate",Assumptions!$B:$B,0),MATCH(B68,Assumptions!$C$3:$E$3,0))</f>
      </c>
      <c r="H68">
        <f>G68*INDEX(Assumptions!$C:$E,MATCH("First purchase conversion",Assumptions!$B:$B,0),MATCH(B68,Assumptions!$C$3:$E$3,0))</f>
      </c>
      <c r="I68">
        <f>J67*INDEX(Assumptions!$C:$E,MATCH("Repeat purchase rate",Assumptions!$B:$B,0),MATCH(B68,Assumptions!$C$3:$E$3,0))</f>
      </c>
      <c r="J68">
        <f>H68+I68</f>
      </c>
    </row>
    <row r="69">
      <c r="A69">
        <v>32</v>
      </c>
      <c r="B69" t="inlineStr">
        <is>
          <t>Base</t>
        </is>
      </c>
      <c r="C69">
        <f>IF(A69&lt;7,1,IF(A69&lt;13,2,IF(A69&lt;24,3,4)))</f>
      </c>
      <c r="D69">
        <f>INDEX(Assumptions!$C:$E,MATCH("Starting monthly visits",Assumptions!$B:$B,0),MATCH(B69,Assumptions!$C$3:$E$3,0))*POWER(1+INDEX(Assumptions!$C:$E,MATCH("Monthly visit growth",Assumptions!$B:$B,0),MATCH(B69,Assumptions!$C$3:$E$3,0)),A69-1)*C69</f>
      </c>
      <c r="E69">
        <f>D69*INDEX(Assumptions!$C:$E,MATCH("Eligible user rate after geo/compliance",Assumptions!$B:$B,0),MATCH(B69,Assumptions!$C$3:$E$3,0))</f>
      </c>
      <c r="F69">
        <f>E69*INDEX(Assumptions!$C:$E,MATCH("Wallet connect rate",Assumptions!$B:$B,0),MATCH(B69,Assumptions!$C$3:$E$3,0))</f>
      </c>
      <c r="G69">
        <f>F69*INDEX(Assumptions!$C:$E,MATCH("USDC readiness rate",Assumptions!$B:$B,0),MATCH(B69,Assumptions!$C$3:$E$3,0))</f>
      </c>
      <c r="H69">
        <f>G69*INDEX(Assumptions!$C:$E,MATCH("First purchase conversion",Assumptions!$B:$B,0),MATCH(B69,Assumptions!$C$3:$E$3,0))</f>
      </c>
      <c r="I69">
        <f>J68*INDEX(Assumptions!$C:$E,MATCH("Repeat purchase rate",Assumptions!$B:$B,0),MATCH(B69,Assumptions!$C$3:$E$3,0))</f>
      </c>
      <c r="J69">
        <f>H69+I69</f>
      </c>
    </row>
    <row r="70">
      <c r="A70">
        <v>33</v>
      </c>
      <c r="B70" t="inlineStr">
        <is>
          <t>Base</t>
        </is>
      </c>
      <c r="C70">
        <f>IF(A70&lt;7,1,IF(A70&lt;13,2,IF(A70&lt;24,3,4)))</f>
      </c>
      <c r="D70">
        <f>INDEX(Assumptions!$C:$E,MATCH("Starting monthly visits",Assumptions!$B:$B,0),MATCH(B70,Assumptions!$C$3:$E$3,0))*POWER(1+INDEX(Assumptions!$C:$E,MATCH("Monthly visit growth",Assumptions!$B:$B,0),MATCH(B70,Assumptions!$C$3:$E$3,0)),A70-1)*C70</f>
      </c>
      <c r="E70">
        <f>D70*INDEX(Assumptions!$C:$E,MATCH("Eligible user rate after geo/compliance",Assumptions!$B:$B,0),MATCH(B70,Assumptions!$C$3:$E$3,0))</f>
      </c>
      <c r="F70">
        <f>E70*INDEX(Assumptions!$C:$E,MATCH("Wallet connect rate",Assumptions!$B:$B,0),MATCH(B70,Assumptions!$C$3:$E$3,0))</f>
      </c>
      <c r="G70">
        <f>F70*INDEX(Assumptions!$C:$E,MATCH("USDC readiness rate",Assumptions!$B:$B,0),MATCH(B70,Assumptions!$C$3:$E$3,0))</f>
      </c>
      <c r="H70">
        <f>G70*INDEX(Assumptions!$C:$E,MATCH("First purchase conversion",Assumptions!$B:$B,0),MATCH(B70,Assumptions!$C$3:$E$3,0))</f>
      </c>
      <c r="I70">
        <f>J69*INDEX(Assumptions!$C:$E,MATCH("Repeat purchase rate",Assumptions!$B:$B,0),MATCH(B70,Assumptions!$C$3:$E$3,0))</f>
      </c>
      <c r="J70">
        <f>H70+I70</f>
      </c>
    </row>
    <row r="71">
      <c r="A71">
        <v>34</v>
      </c>
      <c r="B71" t="inlineStr">
        <is>
          <t>Base</t>
        </is>
      </c>
      <c r="C71">
        <f>IF(A71&lt;7,1,IF(A71&lt;13,2,IF(A71&lt;24,3,4)))</f>
      </c>
      <c r="D71">
        <f>INDEX(Assumptions!$C:$E,MATCH("Starting monthly visits",Assumptions!$B:$B,0),MATCH(B71,Assumptions!$C$3:$E$3,0))*POWER(1+INDEX(Assumptions!$C:$E,MATCH("Monthly visit growth",Assumptions!$B:$B,0),MATCH(B71,Assumptions!$C$3:$E$3,0)),A71-1)*C71</f>
      </c>
      <c r="E71">
        <f>D71*INDEX(Assumptions!$C:$E,MATCH("Eligible user rate after geo/compliance",Assumptions!$B:$B,0),MATCH(B71,Assumptions!$C$3:$E$3,0))</f>
      </c>
      <c r="F71">
        <f>E71*INDEX(Assumptions!$C:$E,MATCH("Wallet connect rate",Assumptions!$B:$B,0),MATCH(B71,Assumptions!$C$3:$E$3,0))</f>
      </c>
      <c r="G71">
        <f>F71*INDEX(Assumptions!$C:$E,MATCH("USDC readiness rate",Assumptions!$B:$B,0),MATCH(B71,Assumptions!$C$3:$E$3,0))</f>
      </c>
      <c r="H71">
        <f>G71*INDEX(Assumptions!$C:$E,MATCH("First purchase conversion",Assumptions!$B:$B,0),MATCH(B71,Assumptions!$C$3:$E$3,0))</f>
      </c>
      <c r="I71">
        <f>J70*INDEX(Assumptions!$C:$E,MATCH("Repeat purchase rate",Assumptions!$B:$B,0),MATCH(B71,Assumptions!$C$3:$E$3,0))</f>
      </c>
      <c r="J71">
        <f>H71+I71</f>
      </c>
    </row>
    <row r="72">
      <c r="A72">
        <v>35</v>
      </c>
      <c r="B72" t="inlineStr">
        <is>
          <t>Base</t>
        </is>
      </c>
      <c r="C72">
        <f>IF(A72&lt;7,1,IF(A72&lt;13,2,IF(A72&lt;24,3,4)))</f>
      </c>
      <c r="D72">
        <f>INDEX(Assumptions!$C:$E,MATCH("Starting monthly visits",Assumptions!$B:$B,0),MATCH(B72,Assumptions!$C$3:$E$3,0))*POWER(1+INDEX(Assumptions!$C:$E,MATCH("Monthly visit growth",Assumptions!$B:$B,0),MATCH(B72,Assumptions!$C$3:$E$3,0)),A72-1)*C72</f>
      </c>
      <c r="E72">
        <f>D72*INDEX(Assumptions!$C:$E,MATCH("Eligible user rate after geo/compliance",Assumptions!$B:$B,0),MATCH(B72,Assumptions!$C$3:$E$3,0))</f>
      </c>
      <c r="F72">
        <f>E72*INDEX(Assumptions!$C:$E,MATCH("Wallet connect rate",Assumptions!$B:$B,0),MATCH(B72,Assumptions!$C$3:$E$3,0))</f>
      </c>
      <c r="G72">
        <f>F72*INDEX(Assumptions!$C:$E,MATCH("USDC readiness rate",Assumptions!$B:$B,0),MATCH(B72,Assumptions!$C$3:$E$3,0))</f>
      </c>
      <c r="H72">
        <f>G72*INDEX(Assumptions!$C:$E,MATCH("First purchase conversion",Assumptions!$B:$B,0),MATCH(B72,Assumptions!$C$3:$E$3,0))</f>
      </c>
      <c r="I72">
        <f>J71*INDEX(Assumptions!$C:$E,MATCH("Repeat purchase rate",Assumptions!$B:$B,0),MATCH(B72,Assumptions!$C$3:$E$3,0))</f>
      </c>
      <c r="J72">
        <f>H72+I72</f>
      </c>
    </row>
    <row r="73">
      <c r="A73">
        <v>36</v>
      </c>
      <c r="B73" t="inlineStr">
        <is>
          <t>Base</t>
        </is>
      </c>
      <c r="C73">
        <f>IF(A73&lt;7,1,IF(A73&lt;13,2,IF(A73&lt;24,3,4)))</f>
      </c>
      <c r="D73">
        <f>INDEX(Assumptions!$C:$E,MATCH("Starting monthly visits",Assumptions!$B:$B,0),MATCH(B73,Assumptions!$C$3:$E$3,0))*POWER(1+INDEX(Assumptions!$C:$E,MATCH("Monthly visit growth",Assumptions!$B:$B,0),MATCH(B73,Assumptions!$C$3:$E$3,0)),A73-1)*C73</f>
      </c>
      <c r="E73">
        <f>D73*INDEX(Assumptions!$C:$E,MATCH("Eligible user rate after geo/compliance",Assumptions!$B:$B,0),MATCH(B73,Assumptions!$C$3:$E$3,0))</f>
      </c>
      <c r="F73">
        <f>E73*INDEX(Assumptions!$C:$E,MATCH("Wallet connect rate",Assumptions!$B:$B,0),MATCH(B73,Assumptions!$C$3:$E$3,0))</f>
      </c>
      <c r="G73">
        <f>F73*INDEX(Assumptions!$C:$E,MATCH("USDC readiness rate",Assumptions!$B:$B,0),MATCH(B73,Assumptions!$C$3:$E$3,0))</f>
      </c>
      <c r="H73">
        <f>G73*INDEX(Assumptions!$C:$E,MATCH("First purchase conversion",Assumptions!$B:$B,0),MATCH(B73,Assumptions!$C$3:$E$3,0))</f>
      </c>
      <c r="I73">
        <f>J72*INDEX(Assumptions!$C:$E,MATCH("Repeat purchase rate",Assumptions!$B:$B,0),MATCH(B73,Assumptions!$C$3:$E$3,0))</f>
      </c>
      <c r="J73">
        <f>H73+I73</f>
      </c>
    </row>
    <row r="74">
      <c r="A74">
        <v>1</v>
      </c>
      <c r="B74" t="inlineStr">
        <is>
          <t>Upside</t>
        </is>
      </c>
      <c r="C74">
        <f>IF(A74&lt;7,1,IF(A74&lt;13,2,IF(A74&lt;24,3,4)))</f>
      </c>
      <c r="D74">
        <f>INDEX(Assumptions!$C:$E,MATCH("Starting monthly visits",Assumptions!$B:$B,0),MATCH(B74,Assumptions!$C$3:$E$3,0))*POWER(1+INDEX(Assumptions!$C:$E,MATCH("Monthly visit growth",Assumptions!$B:$B,0),MATCH(B74,Assumptions!$C$3:$E$3,0)),A74-1)*C74</f>
      </c>
      <c r="E74">
        <f>D74*INDEX(Assumptions!$C:$E,MATCH("Eligible user rate after geo/compliance",Assumptions!$B:$B,0),MATCH(B74,Assumptions!$C$3:$E$3,0))</f>
      </c>
      <c r="F74">
        <f>E74*INDEX(Assumptions!$C:$E,MATCH("Wallet connect rate",Assumptions!$B:$B,0),MATCH(B74,Assumptions!$C$3:$E$3,0))</f>
      </c>
      <c r="G74">
        <f>F74*INDEX(Assumptions!$C:$E,MATCH("USDC readiness rate",Assumptions!$B:$B,0),MATCH(B74,Assumptions!$C$3:$E$3,0))</f>
      </c>
      <c r="H74">
        <f>G74*INDEX(Assumptions!$C:$E,MATCH("First purchase conversion",Assumptions!$B:$B,0),MATCH(B74,Assumptions!$C$3:$E$3,0))</f>
      </c>
      <c r="I74">
        <f>0*INDEX(Assumptions!$C:$E,MATCH("Repeat purchase rate",Assumptions!$B:$B,0),MATCH(B74,Assumptions!$C$3:$E$3,0))</f>
      </c>
      <c r="J74">
        <f>H74+I74</f>
      </c>
    </row>
    <row r="75">
      <c r="A75">
        <v>2</v>
      </c>
      <c r="B75" t="inlineStr">
        <is>
          <t>Upside</t>
        </is>
      </c>
      <c r="C75">
        <f>IF(A75&lt;7,1,IF(A75&lt;13,2,IF(A75&lt;24,3,4)))</f>
      </c>
      <c r="D75">
        <f>INDEX(Assumptions!$C:$E,MATCH("Starting monthly visits",Assumptions!$B:$B,0),MATCH(B75,Assumptions!$C$3:$E$3,0))*POWER(1+INDEX(Assumptions!$C:$E,MATCH("Monthly visit growth",Assumptions!$B:$B,0),MATCH(B75,Assumptions!$C$3:$E$3,0)),A75-1)*C75</f>
      </c>
      <c r="E75">
        <f>D75*INDEX(Assumptions!$C:$E,MATCH("Eligible user rate after geo/compliance",Assumptions!$B:$B,0),MATCH(B75,Assumptions!$C$3:$E$3,0))</f>
      </c>
      <c r="F75">
        <f>E75*INDEX(Assumptions!$C:$E,MATCH("Wallet connect rate",Assumptions!$B:$B,0),MATCH(B75,Assumptions!$C$3:$E$3,0))</f>
      </c>
      <c r="G75">
        <f>F75*INDEX(Assumptions!$C:$E,MATCH("USDC readiness rate",Assumptions!$B:$B,0),MATCH(B75,Assumptions!$C$3:$E$3,0))</f>
      </c>
      <c r="H75">
        <f>G75*INDEX(Assumptions!$C:$E,MATCH("First purchase conversion",Assumptions!$B:$B,0),MATCH(B75,Assumptions!$C$3:$E$3,0))</f>
      </c>
      <c r="I75">
        <f>J74*INDEX(Assumptions!$C:$E,MATCH("Repeat purchase rate",Assumptions!$B:$B,0),MATCH(B75,Assumptions!$C$3:$E$3,0))</f>
      </c>
      <c r="J75">
        <f>H75+I75</f>
      </c>
    </row>
    <row r="76">
      <c r="A76">
        <v>3</v>
      </c>
      <c r="B76" t="inlineStr">
        <is>
          <t>Upside</t>
        </is>
      </c>
      <c r="C76">
        <f>IF(A76&lt;7,1,IF(A76&lt;13,2,IF(A76&lt;24,3,4)))</f>
      </c>
      <c r="D76">
        <f>INDEX(Assumptions!$C:$E,MATCH("Starting monthly visits",Assumptions!$B:$B,0),MATCH(B76,Assumptions!$C$3:$E$3,0))*POWER(1+INDEX(Assumptions!$C:$E,MATCH("Monthly visit growth",Assumptions!$B:$B,0),MATCH(B76,Assumptions!$C$3:$E$3,0)),A76-1)*C76</f>
      </c>
      <c r="E76">
        <f>D76*INDEX(Assumptions!$C:$E,MATCH("Eligible user rate after geo/compliance",Assumptions!$B:$B,0),MATCH(B76,Assumptions!$C$3:$E$3,0))</f>
      </c>
      <c r="F76">
        <f>E76*INDEX(Assumptions!$C:$E,MATCH("Wallet connect rate",Assumptions!$B:$B,0),MATCH(B76,Assumptions!$C$3:$E$3,0))</f>
      </c>
      <c r="G76">
        <f>F76*INDEX(Assumptions!$C:$E,MATCH("USDC readiness rate",Assumptions!$B:$B,0),MATCH(B76,Assumptions!$C$3:$E$3,0))</f>
      </c>
      <c r="H76">
        <f>G76*INDEX(Assumptions!$C:$E,MATCH("First purchase conversion",Assumptions!$B:$B,0),MATCH(B76,Assumptions!$C$3:$E$3,0))</f>
      </c>
      <c r="I76">
        <f>J75*INDEX(Assumptions!$C:$E,MATCH("Repeat purchase rate",Assumptions!$B:$B,0),MATCH(B76,Assumptions!$C$3:$E$3,0))</f>
      </c>
      <c r="J76">
        <f>H76+I76</f>
      </c>
    </row>
    <row r="77">
      <c r="A77">
        <v>4</v>
      </c>
      <c r="B77" t="inlineStr">
        <is>
          <t>Upside</t>
        </is>
      </c>
      <c r="C77">
        <f>IF(A77&lt;7,1,IF(A77&lt;13,2,IF(A77&lt;24,3,4)))</f>
      </c>
      <c r="D77">
        <f>INDEX(Assumptions!$C:$E,MATCH("Starting monthly visits",Assumptions!$B:$B,0),MATCH(B77,Assumptions!$C$3:$E$3,0))*POWER(1+INDEX(Assumptions!$C:$E,MATCH("Monthly visit growth",Assumptions!$B:$B,0),MATCH(B77,Assumptions!$C$3:$E$3,0)),A77-1)*C77</f>
      </c>
      <c r="E77">
        <f>D77*INDEX(Assumptions!$C:$E,MATCH("Eligible user rate after geo/compliance",Assumptions!$B:$B,0),MATCH(B77,Assumptions!$C$3:$E$3,0))</f>
      </c>
      <c r="F77">
        <f>E77*INDEX(Assumptions!$C:$E,MATCH("Wallet connect rate",Assumptions!$B:$B,0),MATCH(B77,Assumptions!$C$3:$E$3,0))</f>
      </c>
      <c r="G77">
        <f>F77*INDEX(Assumptions!$C:$E,MATCH("USDC readiness rate",Assumptions!$B:$B,0),MATCH(B77,Assumptions!$C$3:$E$3,0))</f>
      </c>
      <c r="H77">
        <f>G77*INDEX(Assumptions!$C:$E,MATCH("First purchase conversion",Assumptions!$B:$B,0),MATCH(B77,Assumptions!$C$3:$E$3,0))</f>
      </c>
      <c r="I77">
        <f>J76*INDEX(Assumptions!$C:$E,MATCH("Repeat purchase rate",Assumptions!$B:$B,0),MATCH(B77,Assumptions!$C$3:$E$3,0))</f>
      </c>
      <c r="J77">
        <f>H77+I77</f>
      </c>
    </row>
    <row r="78">
      <c r="A78">
        <v>5</v>
      </c>
      <c r="B78" t="inlineStr">
        <is>
          <t>Upside</t>
        </is>
      </c>
      <c r="C78">
        <f>IF(A78&lt;7,1,IF(A78&lt;13,2,IF(A78&lt;24,3,4)))</f>
      </c>
      <c r="D78">
        <f>INDEX(Assumptions!$C:$E,MATCH("Starting monthly visits",Assumptions!$B:$B,0),MATCH(B78,Assumptions!$C$3:$E$3,0))*POWER(1+INDEX(Assumptions!$C:$E,MATCH("Monthly visit growth",Assumptions!$B:$B,0),MATCH(B78,Assumptions!$C$3:$E$3,0)),A78-1)*C78</f>
      </c>
      <c r="E78">
        <f>D78*INDEX(Assumptions!$C:$E,MATCH("Eligible user rate after geo/compliance",Assumptions!$B:$B,0),MATCH(B78,Assumptions!$C$3:$E$3,0))</f>
      </c>
      <c r="F78">
        <f>E78*INDEX(Assumptions!$C:$E,MATCH("Wallet connect rate",Assumptions!$B:$B,0),MATCH(B78,Assumptions!$C$3:$E$3,0))</f>
      </c>
      <c r="G78">
        <f>F78*INDEX(Assumptions!$C:$E,MATCH("USDC readiness rate",Assumptions!$B:$B,0),MATCH(B78,Assumptions!$C$3:$E$3,0))</f>
      </c>
      <c r="H78">
        <f>G78*INDEX(Assumptions!$C:$E,MATCH("First purchase conversion",Assumptions!$B:$B,0),MATCH(B78,Assumptions!$C$3:$E$3,0))</f>
      </c>
      <c r="I78">
        <f>J77*INDEX(Assumptions!$C:$E,MATCH("Repeat purchase rate",Assumptions!$B:$B,0),MATCH(B78,Assumptions!$C$3:$E$3,0))</f>
      </c>
      <c r="J78">
        <f>H78+I78</f>
      </c>
    </row>
    <row r="79">
      <c r="A79">
        <v>6</v>
      </c>
      <c r="B79" t="inlineStr">
        <is>
          <t>Upside</t>
        </is>
      </c>
      <c r="C79">
        <f>IF(A79&lt;7,1,IF(A79&lt;13,2,IF(A79&lt;24,3,4)))</f>
      </c>
      <c r="D79">
        <f>INDEX(Assumptions!$C:$E,MATCH("Starting monthly visits",Assumptions!$B:$B,0),MATCH(B79,Assumptions!$C$3:$E$3,0))*POWER(1+INDEX(Assumptions!$C:$E,MATCH("Monthly visit growth",Assumptions!$B:$B,0),MATCH(B79,Assumptions!$C$3:$E$3,0)),A79-1)*C79</f>
      </c>
      <c r="E79">
        <f>D79*INDEX(Assumptions!$C:$E,MATCH("Eligible user rate after geo/compliance",Assumptions!$B:$B,0),MATCH(B79,Assumptions!$C$3:$E$3,0))</f>
      </c>
      <c r="F79">
        <f>E79*INDEX(Assumptions!$C:$E,MATCH("Wallet connect rate",Assumptions!$B:$B,0),MATCH(B79,Assumptions!$C$3:$E$3,0))</f>
      </c>
      <c r="G79">
        <f>F79*INDEX(Assumptions!$C:$E,MATCH("USDC readiness rate",Assumptions!$B:$B,0),MATCH(B79,Assumptions!$C$3:$E$3,0))</f>
      </c>
      <c r="H79">
        <f>G79*INDEX(Assumptions!$C:$E,MATCH("First purchase conversion",Assumptions!$B:$B,0),MATCH(B79,Assumptions!$C$3:$E$3,0))</f>
      </c>
      <c r="I79">
        <f>J78*INDEX(Assumptions!$C:$E,MATCH("Repeat purchase rate",Assumptions!$B:$B,0),MATCH(B79,Assumptions!$C$3:$E$3,0))</f>
      </c>
      <c r="J79">
        <f>H79+I79</f>
      </c>
    </row>
    <row r="80">
      <c r="A80">
        <v>7</v>
      </c>
      <c r="B80" t="inlineStr">
        <is>
          <t>Upside</t>
        </is>
      </c>
      <c r="C80">
        <f>IF(A80&lt;7,1,IF(A80&lt;13,2,IF(A80&lt;24,3,4)))</f>
      </c>
      <c r="D80">
        <f>INDEX(Assumptions!$C:$E,MATCH("Starting monthly visits",Assumptions!$B:$B,0),MATCH(B80,Assumptions!$C$3:$E$3,0))*POWER(1+INDEX(Assumptions!$C:$E,MATCH("Monthly visit growth",Assumptions!$B:$B,0),MATCH(B80,Assumptions!$C$3:$E$3,0)),A80-1)*C80</f>
      </c>
      <c r="E80">
        <f>D80*INDEX(Assumptions!$C:$E,MATCH("Eligible user rate after geo/compliance",Assumptions!$B:$B,0),MATCH(B80,Assumptions!$C$3:$E$3,0))</f>
      </c>
      <c r="F80">
        <f>E80*INDEX(Assumptions!$C:$E,MATCH("Wallet connect rate",Assumptions!$B:$B,0),MATCH(B80,Assumptions!$C$3:$E$3,0))</f>
      </c>
      <c r="G80">
        <f>F80*INDEX(Assumptions!$C:$E,MATCH("USDC readiness rate",Assumptions!$B:$B,0),MATCH(B80,Assumptions!$C$3:$E$3,0))</f>
      </c>
      <c r="H80">
        <f>G80*INDEX(Assumptions!$C:$E,MATCH("First purchase conversion",Assumptions!$B:$B,0),MATCH(B80,Assumptions!$C$3:$E$3,0))</f>
      </c>
      <c r="I80">
        <f>J79*INDEX(Assumptions!$C:$E,MATCH("Repeat purchase rate",Assumptions!$B:$B,0),MATCH(B80,Assumptions!$C$3:$E$3,0))</f>
      </c>
      <c r="J80">
        <f>H80+I80</f>
      </c>
    </row>
    <row r="81">
      <c r="A81">
        <v>8</v>
      </c>
      <c r="B81" t="inlineStr">
        <is>
          <t>Upside</t>
        </is>
      </c>
      <c r="C81">
        <f>IF(A81&lt;7,1,IF(A81&lt;13,2,IF(A81&lt;24,3,4)))</f>
      </c>
      <c r="D81">
        <f>INDEX(Assumptions!$C:$E,MATCH("Starting monthly visits",Assumptions!$B:$B,0),MATCH(B81,Assumptions!$C$3:$E$3,0))*POWER(1+INDEX(Assumptions!$C:$E,MATCH("Monthly visit growth",Assumptions!$B:$B,0),MATCH(B81,Assumptions!$C$3:$E$3,0)),A81-1)*C81</f>
      </c>
      <c r="E81">
        <f>D81*INDEX(Assumptions!$C:$E,MATCH("Eligible user rate after geo/compliance",Assumptions!$B:$B,0),MATCH(B81,Assumptions!$C$3:$E$3,0))</f>
      </c>
      <c r="F81">
        <f>E81*INDEX(Assumptions!$C:$E,MATCH("Wallet connect rate",Assumptions!$B:$B,0),MATCH(B81,Assumptions!$C$3:$E$3,0))</f>
      </c>
      <c r="G81">
        <f>F81*INDEX(Assumptions!$C:$E,MATCH("USDC readiness rate",Assumptions!$B:$B,0),MATCH(B81,Assumptions!$C$3:$E$3,0))</f>
      </c>
      <c r="H81">
        <f>G81*INDEX(Assumptions!$C:$E,MATCH("First purchase conversion",Assumptions!$B:$B,0),MATCH(B81,Assumptions!$C$3:$E$3,0))</f>
      </c>
      <c r="I81">
        <f>J80*INDEX(Assumptions!$C:$E,MATCH("Repeat purchase rate",Assumptions!$B:$B,0),MATCH(B81,Assumptions!$C$3:$E$3,0))</f>
      </c>
      <c r="J81">
        <f>H81+I81</f>
      </c>
    </row>
    <row r="82">
      <c r="A82">
        <v>9</v>
      </c>
      <c r="B82" t="inlineStr">
        <is>
          <t>Upside</t>
        </is>
      </c>
      <c r="C82">
        <f>IF(A82&lt;7,1,IF(A82&lt;13,2,IF(A82&lt;24,3,4)))</f>
      </c>
      <c r="D82">
        <f>INDEX(Assumptions!$C:$E,MATCH("Starting monthly visits",Assumptions!$B:$B,0),MATCH(B82,Assumptions!$C$3:$E$3,0))*POWER(1+INDEX(Assumptions!$C:$E,MATCH("Monthly visit growth",Assumptions!$B:$B,0),MATCH(B82,Assumptions!$C$3:$E$3,0)),A82-1)*C82</f>
      </c>
      <c r="E82">
        <f>D82*INDEX(Assumptions!$C:$E,MATCH("Eligible user rate after geo/compliance",Assumptions!$B:$B,0),MATCH(B82,Assumptions!$C$3:$E$3,0))</f>
      </c>
      <c r="F82">
        <f>E82*INDEX(Assumptions!$C:$E,MATCH("Wallet connect rate",Assumptions!$B:$B,0),MATCH(B82,Assumptions!$C$3:$E$3,0))</f>
      </c>
      <c r="G82">
        <f>F82*INDEX(Assumptions!$C:$E,MATCH("USDC readiness rate",Assumptions!$B:$B,0),MATCH(B82,Assumptions!$C$3:$E$3,0))</f>
      </c>
      <c r="H82">
        <f>G82*INDEX(Assumptions!$C:$E,MATCH("First purchase conversion",Assumptions!$B:$B,0),MATCH(B82,Assumptions!$C$3:$E$3,0))</f>
      </c>
      <c r="I82">
        <f>J81*INDEX(Assumptions!$C:$E,MATCH("Repeat purchase rate",Assumptions!$B:$B,0),MATCH(B82,Assumptions!$C$3:$E$3,0))</f>
      </c>
      <c r="J82">
        <f>H82+I82</f>
      </c>
    </row>
    <row r="83">
      <c r="A83">
        <v>10</v>
      </c>
      <c r="B83" t="inlineStr">
        <is>
          <t>Upside</t>
        </is>
      </c>
      <c r="C83">
        <f>IF(A83&lt;7,1,IF(A83&lt;13,2,IF(A83&lt;24,3,4)))</f>
      </c>
      <c r="D83">
        <f>INDEX(Assumptions!$C:$E,MATCH("Starting monthly visits",Assumptions!$B:$B,0),MATCH(B83,Assumptions!$C$3:$E$3,0))*POWER(1+INDEX(Assumptions!$C:$E,MATCH("Monthly visit growth",Assumptions!$B:$B,0),MATCH(B83,Assumptions!$C$3:$E$3,0)),A83-1)*C83</f>
      </c>
      <c r="E83">
        <f>D83*INDEX(Assumptions!$C:$E,MATCH("Eligible user rate after geo/compliance",Assumptions!$B:$B,0),MATCH(B83,Assumptions!$C$3:$E$3,0))</f>
      </c>
      <c r="F83">
        <f>E83*INDEX(Assumptions!$C:$E,MATCH("Wallet connect rate",Assumptions!$B:$B,0),MATCH(B83,Assumptions!$C$3:$E$3,0))</f>
      </c>
      <c r="G83">
        <f>F83*INDEX(Assumptions!$C:$E,MATCH("USDC readiness rate",Assumptions!$B:$B,0),MATCH(B83,Assumptions!$C$3:$E$3,0))</f>
      </c>
      <c r="H83">
        <f>G83*INDEX(Assumptions!$C:$E,MATCH("First purchase conversion",Assumptions!$B:$B,0),MATCH(B83,Assumptions!$C$3:$E$3,0))</f>
      </c>
      <c r="I83">
        <f>J82*INDEX(Assumptions!$C:$E,MATCH("Repeat purchase rate",Assumptions!$B:$B,0),MATCH(B83,Assumptions!$C$3:$E$3,0))</f>
      </c>
      <c r="J83">
        <f>H83+I83</f>
      </c>
    </row>
    <row r="84">
      <c r="A84">
        <v>11</v>
      </c>
      <c r="B84" t="inlineStr">
        <is>
          <t>Upside</t>
        </is>
      </c>
      <c r="C84">
        <f>IF(A84&lt;7,1,IF(A84&lt;13,2,IF(A84&lt;24,3,4)))</f>
      </c>
      <c r="D84">
        <f>INDEX(Assumptions!$C:$E,MATCH("Starting monthly visits",Assumptions!$B:$B,0),MATCH(B84,Assumptions!$C$3:$E$3,0))*POWER(1+INDEX(Assumptions!$C:$E,MATCH("Monthly visit growth",Assumptions!$B:$B,0),MATCH(B84,Assumptions!$C$3:$E$3,0)),A84-1)*C84</f>
      </c>
      <c r="E84">
        <f>D84*INDEX(Assumptions!$C:$E,MATCH("Eligible user rate after geo/compliance",Assumptions!$B:$B,0),MATCH(B84,Assumptions!$C$3:$E$3,0))</f>
      </c>
      <c r="F84">
        <f>E84*INDEX(Assumptions!$C:$E,MATCH("Wallet connect rate",Assumptions!$B:$B,0),MATCH(B84,Assumptions!$C$3:$E$3,0))</f>
      </c>
      <c r="G84">
        <f>F84*INDEX(Assumptions!$C:$E,MATCH("USDC readiness rate",Assumptions!$B:$B,0),MATCH(B84,Assumptions!$C$3:$E$3,0))</f>
      </c>
      <c r="H84">
        <f>G84*INDEX(Assumptions!$C:$E,MATCH("First purchase conversion",Assumptions!$B:$B,0),MATCH(B84,Assumptions!$C$3:$E$3,0))</f>
      </c>
      <c r="I84">
        <f>J83*INDEX(Assumptions!$C:$E,MATCH("Repeat purchase rate",Assumptions!$B:$B,0),MATCH(B84,Assumptions!$C$3:$E$3,0))</f>
      </c>
      <c r="J84">
        <f>H84+I84</f>
      </c>
    </row>
    <row r="85">
      <c r="A85">
        <v>12</v>
      </c>
      <c r="B85" t="inlineStr">
        <is>
          <t>Upside</t>
        </is>
      </c>
      <c r="C85">
        <f>IF(A85&lt;7,1,IF(A85&lt;13,2,IF(A85&lt;24,3,4)))</f>
      </c>
      <c r="D85">
        <f>INDEX(Assumptions!$C:$E,MATCH("Starting monthly visits",Assumptions!$B:$B,0),MATCH(B85,Assumptions!$C$3:$E$3,0))*POWER(1+INDEX(Assumptions!$C:$E,MATCH("Monthly visit growth",Assumptions!$B:$B,0),MATCH(B85,Assumptions!$C$3:$E$3,0)),A85-1)*C85</f>
      </c>
      <c r="E85">
        <f>D85*INDEX(Assumptions!$C:$E,MATCH("Eligible user rate after geo/compliance",Assumptions!$B:$B,0),MATCH(B85,Assumptions!$C$3:$E$3,0))</f>
      </c>
      <c r="F85">
        <f>E85*INDEX(Assumptions!$C:$E,MATCH("Wallet connect rate",Assumptions!$B:$B,0),MATCH(B85,Assumptions!$C$3:$E$3,0))</f>
      </c>
      <c r="G85">
        <f>F85*INDEX(Assumptions!$C:$E,MATCH("USDC readiness rate",Assumptions!$B:$B,0),MATCH(B85,Assumptions!$C$3:$E$3,0))</f>
      </c>
      <c r="H85">
        <f>G85*INDEX(Assumptions!$C:$E,MATCH("First purchase conversion",Assumptions!$B:$B,0),MATCH(B85,Assumptions!$C$3:$E$3,0))</f>
      </c>
      <c r="I85">
        <f>J84*INDEX(Assumptions!$C:$E,MATCH("Repeat purchase rate",Assumptions!$B:$B,0),MATCH(B85,Assumptions!$C$3:$E$3,0))</f>
      </c>
      <c r="J85">
        <f>H85+I85</f>
      </c>
    </row>
    <row r="86">
      <c r="A86">
        <v>13</v>
      </c>
      <c r="B86" t="inlineStr">
        <is>
          <t>Upside</t>
        </is>
      </c>
      <c r="C86">
        <f>IF(A86&lt;7,1,IF(A86&lt;13,2,IF(A86&lt;24,3,4)))</f>
      </c>
      <c r="D86">
        <f>INDEX(Assumptions!$C:$E,MATCH("Starting monthly visits",Assumptions!$B:$B,0),MATCH(B86,Assumptions!$C$3:$E$3,0))*POWER(1+INDEX(Assumptions!$C:$E,MATCH("Monthly visit growth",Assumptions!$B:$B,0),MATCH(B86,Assumptions!$C$3:$E$3,0)),A86-1)*C86</f>
      </c>
      <c r="E86">
        <f>D86*INDEX(Assumptions!$C:$E,MATCH("Eligible user rate after geo/compliance",Assumptions!$B:$B,0),MATCH(B86,Assumptions!$C$3:$E$3,0))</f>
      </c>
      <c r="F86">
        <f>E86*INDEX(Assumptions!$C:$E,MATCH("Wallet connect rate",Assumptions!$B:$B,0),MATCH(B86,Assumptions!$C$3:$E$3,0))</f>
      </c>
      <c r="G86">
        <f>F86*INDEX(Assumptions!$C:$E,MATCH("USDC readiness rate",Assumptions!$B:$B,0),MATCH(B86,Assumptions!$C$3:$E$3,0))</f>
      </c>
      <c r="H86">
        <f>G86*INDEX(Assumptions!$C:$E,MATCH("First purchase conversion",Assumptions!$B:$B,0),MATCH(B86,Assumptions!$C$3:$E$3,0))</f>
      </c>
      <c r="I86">
        <f>J85*INDEX(Assumptions!$C:$E,MATCH("Repeat purchase rate",Assumptions!$B:$B,0),MATCH(B86,Assumptions!$C$3:$E$3,0))</f>
      </c>
      <c r="J86">
        <f>H86+I86</f>
      </c>
    </row>
    <row r="87">
      <c r="A87">
        <v>14</v>
      </c>
      <c r="B87" t="inlineStr">
        <is>
          <t>Upside</t>
        </is>
      </c>
      <c r="C87">
        <f>IF(A87&lt;7,1,IF(A87&lt;13,2,IF(A87&lt;24,3,4)))</f>
      </c>
      <c r="D87">
        <f>INDEX(Assumptions!$C:$E,MATCH("Starting monthly visits",Assumptions!$B:$B,0),MATCH(B87,Assumptions!$C$3:$E$3,0))*POWER(1+INDEX(Assumptions!$C:$E,MATCH("Monthly visit growth",Assumptions!$B:$B,0),MATCH(B87,Assumptions!$C$3:$E$3,0)),A87-1)*C87</f>
      </c>
      <c r="E87">
        <f>D87*INDEX(Assumptions!$C:$E,MATCH("Eligible user rate after geo/compliance",Assumptions!$B:$B,0),MATCH(B87,Assumptions!$C$3:$E$3,0))</f>
      </c>
      <c r="F87">
        <f>E87*INDEX(Assumptions!$C:$E,MATCH("Wallet connect rate",Assumptions!$B:$B,0),MATCH(B87,Assumptions!$C$3:$E$3,0))</f>
      </c>
      <c r="G87">
        <f>F87*INDEX(Assumptions!$C:$E,MATCH("USDC readiness rate",Assumptions!$B:$B,0),MATCH(B87,Assumptions!$C$3:$E$3,0))</f>
      </c>
      <c r="H87">
        <f>G87*INDEX(Assumptions!$C:$E,MATCH("First purchase conversion",Assumptions!$B:$B,0),MATCH(B87,Assumptions!$C$3:$E$3,0))</f>
      </c>
      <c r="I87">
        <f>J86*INDEX(Assumptions!$C:$E,MATCH("Repeat purchase rate",Assumptions!$B:$B,0),MATCH(B87,Assumptions!$C$3:$E$3,0))</f>
      </c>
      <c r="J87">
        <f>H87+I87</f>
      </c>
    </row>
    <row r="88">
      <c r="A88">
        <v>15</v>
      </c>
      <c r="B88" t="inlineStr">
        <is>
          <t>Upside</t>
        </is>
      </c>
      <c r="C88">
        <f>IF(A88&lt;7,1,IF(A88&lt;13,2,IF(A88&lt;24,3,4)))</f>
      </c>
      <c r="D88">
        <f>INDEX(Assumptions!$C:$E,MATCH("Starting monthly visits",Assumptions!$B:$B,0),MATCH(B88,Assumptions!$C$3:$E$3,0))*POWER(1+INDEX(Assumptions!$C:$E,MATCH("Monthly visit growth",Assumptions!$B:$B,0),MATCH(B88,Assumptions!$C$3:$E$3,0)),A88-1)*C88</f>
      </c>
      <c r="E88">
        <f>D88*INDEX(Assumptions!$C:$E,MATCH("Eligible user rate after geo/compliance",Assumptions!$B:$B,0),MATCH(B88,Assumptions!$C$3:$E$3,0))</f>
      </c>
      <c r="F88">
        <f>E88*INDEX(Assumptions!$C:$E,MATCH("Wallet connect rate",Assumptions!$B:$B,0),MATCH(B88,Assumptions!$C$3:$E$3,0))</f>
      </c>
      <c r="G88">
        <f>F88*INDEX(Assumptions!$C:$E,MATCH("USDC readiness rate",Assumptions!$B:$B,0),MATCH(B88,Assumptions!$C$3:$E$3,0))</f>
      </c>
      <c r="H88">
        <f>G88*INDEX(Assumptions!$C:$E,MATCH("First purchase conversion",Assumptions!$B:$B,0),MATCH(B88,Assumptions!$C$3:$E$3,0))</f>
      </c>
      <c r="I88">
        <f>J87*INDEX(Assumptions!$C:$E,MATCH("Repeat purchase rate",Assumptions!$B:$B,0),MATCH(B88,Assumptions!$C$3:$E$3,0))</f>
      </c>
      <c r="J88">
        <f>H88+I88</f>
      </c>
    </row>
    <row r="89">
      <c r="A89">
        <v>16</v>
      </c>
      <c r="B89" t="inlineStr">
        <is>
          <t>Upside</t>
        </is>
      </c>
      <c r="C89">
        <f>IF(A89&lt;7,1,IF(A89&lt;13,2,IF(A89&lt;24,3,4)))</f>
      </c>
      <c r="D89">
        <f>INDEX(Assumptions!$C:$E,MATCH("Starting monthly visits",Assumptions!$B:$B,0),MATCH(B89,Assumptions!$C$3:$E$3,0))*POWER(1+INDEX(Assumptions!$C:$E,MATCH("Monthly visit growth",Assumptions!$B:$B,0),MATCH(B89,Assumptions!$C$3:$E$3,0)),A89-1)*C89</f>
      </c>
      <c r="E89">
        <f>D89*INDEX(Assumptions!$C:$E,MATCH("Eligible user rate after geo/compliance",Assumptions!$B:$B,0),MATCH(B89,Assumptions!$C$3:$E$3,0))</f>
      </c>
      <c r="F89">
        <f>E89*INDEX(Assumptions!$C:$E,MATCH("Wallet connect rate",Assumptions!$B:$B,0),MATCH(B89,Assumptions!$C$3:$E$3,0))</f>
      </c>
      <c r="G89">
        <f>F89*INDEX(Assumptions!$C:$E,MATCH("USDC readiness rate",Assumptions!$B:$B,0),MATCH(B89,Assumptions!$C$3:$E$3,0))</f>
      </c>
      <c r="H89">
        <f>G89*INDEX(Assumptions!$C:$E,MATCH("First purchase conversion",Assumptions!$B:$B,0),MATCH(B89,Assumptions!$C$3:$E$3,0))</f>
      </c>
      <c r="I89">
        <f>J88*INDEX(Assumptions!$C:$E,MATCH("Repeat purchase rate",Assumptions!$B:$B,0),MATCH(B89,Assumptions!$C$3:$E$3,0))</f>
      </c>
      <c r="J89">
        <f>H89+I89</f>
      </c>
    </row>
    <row r="90">
      <c r="A90">
        <v>17</v>
      </c>
      <c r="B90" t="inlineStr">
        <is>
          <t>Upside</t>
        </is>
      </c>
      <c r="C90">
        <f>IF(A90&lt;7,1,IF(A90&lt;13,2,IF(A90&lt;24,3,4)))</f>
      </c>
      <c r="D90">
        <f>INDEX(Assumptions!$C:$E,MATCH("Starting monthly visits",Assumptions!$B:$B,0),MATCH(B90,Assumptions!$C$3:$E$3,0))*POWER(1+INDEX(Assumptions!$C:$E,MATCH("Monthly visit growth",Assumptions!$B:$B,0),MATCH(B90,Assumptions!$C$3:$E$3,0)),A90-1)*C90</f>
      </c>
      <c r="E90">
        <f>D90*INDEX(Assumptions!$C:$E,MATCH("Eligible user rate after geo/compliance",Assumptions!$B:$B,0),MATCH(B90,Assumptions!$C$3:$E$3,0))</f>
      </c>
      <c r="F90">
        <f>E90*INDEX(Assumptions!$C:$E,MATCH("Wallet connect rate",Assumptions!$B:$B,0),MATCH(B90,Assumptions!$C$3:$E$3,0))</f>
      </c>
      <c r="G90">
        <f>F90*INDEX(Assumptions!$C:$E,MATCH("USDC readiness rate",Assumptions!$B:$B,0),MATCH(B90,Assumptions!$C$3:$E$3,0))</f>
      </c>
      <c r="H90">
        <f>G90*INDEX(Assumptions!$C:$E,MATCH("First purchase conversion",Assumptions!$B:$B,0),MATCH(B90,Assumptions!$C$3:$E$3,0))</f>
      </c>
      <c r="I90">
        <f>J89*INDEX(Assumptions!$C:$E,MATCH("Repeat purchase rate",Assumptions!$B:$B,0),MATCH(B90,Assumptions!$C$3:$E$3,0))</f>
      </c>
      <c r="J90">
        <f>H90+I90</f>
      </c>
    </row>
    <row r="91">
      <c r="A91">
        <v>18</v>
      </c>
      <c r="B91" t="inlineStr">
        <is>
          <t>Upside</t>
        </is>
      </c>
      <c r="C91">
        <f>IF(A91&lt;7,1,IF(A91&lt;13,2,IF(A91&lt;24,3,4)))</f>
      </c>
      <c r="D91">
        <f>INDEX(Assumptions!$C:$E,MATCH("Starting monthly visits",Assumptions!$B:$B,0),MATCH(B91,Assumptions!$C$3:$E$3,0))*POWER(1+INDEX(Assumptions!$C:$E,MATCH("Monthly visit growth",Assumptions!$B:$B,0),MATCH(B91,Assumptions!$C$3:$E$3,0)),A91-1)*C91</f>
      </c>
      <c r="E91">
        <f>D91*INDEX(Assumptions!$C:$E,MATCH("Eligible user rate after geo/compliance",Assumptions!$B:$B,0),MATCH(B91,Assumptions!$C$3:$E$3,0))</f>
      </c>
      <c r="F91">
        <f>E91*INDEX(Assumptions!$C:$E,MATCH("Wallet connect rate",Assumptions!$B:$B,0),MATCH(B91,Assumptions!$C$3:$E$3,0))</f>
      </c>
      <c r="G91">
        <f>F91*INDEX(Assumptions!$C:$E,MATCH("USDC readiness rate",Assumptions!$B:$B,0),MATCH(B91,Assumptions!$C$3:$E$3,0))</f>
      </c>
      <c r="H91">
        <f>G91*INDEX(Assumptions!$C:$E,MATCH("First purchase conversion",Assumptions!$B:$B,0),MATCH(B91,Assumptions!$C$3:$E$3,0))</f>
      </c>
      <c r="I91">
        <f>J90*INDEX(Assumptions!$C:$E,MATCH("Repeat purchase rate",Assumptions!$B:$B,0),MATCH(B91,Assumptions!$C$3:$E$3,0))</f>
      </c>
      <c r="J91">
        <f>H91+I91</f>
      </c>
    </row>
    <row r="92">
      <c r="A92">
        <v>19</v>
      </c>
      <c r="B92" t="inlineStr">
        <is>
          <t>Upside</t>
        </is>
      </c>
      <c r="C92">
        <f>IF(A92&lt;7,1,IF(A92&lt;13,2,IF(A92&lt;24,3,4)))</f>
      </c>
      <c r="D92">
        <f>INDEX(Assumptions!$C:$E,MATCH("Starting monthly visits",Assumptions!$B:$B,0),MATCH(B92,Assumptions!$C$3:$E$3,0))*POWER(1+INDEX(Assumptions!$C:$E,MATCH("Monthly visit growth",Assumptions!$B:$B,0),MATCH(B92,Assumptions!$C$3:$E$3,0)),A92-1)*C92</f>
      </c>
      <c r="E92">
        <f>D92*INDEX(Assumptions!$C:$E,MATCH("Eligible user rate after geo/compliance",Assumptions!$B:$B,0),MATCH(B92,Assumptions!$C$3:$E$3,0))</f>
      </c>
      <c r="F92">
        <f>E92*INDEX(Assumptions!$C:$E,MATCH("Wallet connect rate",Assumptions!$B:$B,0),MATCH(B92,Assumptions!$C$3:$E$3,0))</f>
      </c>
      <c r="G92">
        <f>F92*INDEX(Assumptions!$C:$E,MATCH("USDC readiness rate",Assumptions!$B:$B,0),MATCH(B92,Assumptions!$C$3:$E$3,0))</f>
      </c>
      <c r="H92">
        <f>G92*INDEX(Assumptions!$C:$E,MATCH("First purchase conversion",Assumptions!$B:$B,0),MATCH(B92,Assumptions!$C$3:$E$3,0))</f>
      </c>
      <c r="I92">
        <f>J91*INDEX(Assumptions!$C:$E,MATCH("Repeat purchase rate",Assumptions!$B:$B,0),MATCH(B92,Assumptions!$C$3:$E$3,0))</f>
      </c>
      <c r="J92">
        <f>H92+I92</f>
      </c>
    </row>
    <row r="93">
      <c r="A93">
        <v>20</v>
      </c>
      <c r="B93" t="inlineStr">
        <is>
          <t>Upside</t>
        </is>
      </c>
      <c r="C93">
        <f>IF(A93&lt;7,1,IF(A93&lt;13,2,IF(A93&lt;24,3,4)))</f>
      </c>
      <c r="D93">
        <f>INDEX(Assumptions!$C:$E,MATCH("Starting monthly visits",Assumptions!$B:$B,0),MATCH(B93,Assumptions!$C$3:$E$3,0))*POWER(1+INDEX(Assumptions!$C:$E,MATCH("Monthly visit growth",Assumptions!$B:$B,0),MATCH(B93,Assumptions!$C$3:$E$3,0)),A93-1)*C93</f>
      </c>
      <c r="E93">
        <f>D93*INDEX(Assumptions!$C:$E,MATCH("Eligible user rate after geo/compliance",Assumptions!$B:$B,0),MATCH(B93,Assumptions!$C$3:$E$3,0))</f>
      </c>
      <c r="F93">
        <f>E93*INDEX(Assumptions!$C:$E,MATCH("Wallet connect rate",Assumptions!$B:$B,0),MATCH(B93,Assumptions!$C$3:$E$3,0))</f>
      </c>
      <c r="G93">
        <f>F93*INDEX(Assumptions!$C:$E,MATCH("USDC readiness rate",Assumptions!$B:$B,0),MATCH(B93,Assumptions!$C$3:$E$3,0))</f>
      </c>
      <c r="H93">
        <f>G93*INDEX(Assumptions!$C:$E,MATCH("First purchase conversion",Assumptions!$B:$B,0),MATCH(B93,Assumptions!$C$3:$E$3,0))</f>
      </c>
      <c r="I93">
        <f>J92*INDEX(Assumptions!$C:$E,MATCH("Repeat purchase rate",Assumptions!$B:$B,0),MATCH(B93,Assumptions!$C$3:$E$3,0))</f>
      </c>
      <c r="J93">
        <f>H93+I93</f>
      </c>
    </row>
    <row r="94">
      <c r="A94">
        <v>21</v>
      </c>
      <c r="B94" t="inlineStr">
        <is>
          <t>Upside</t>
        </is>
      </c>
      <c r="C94">
        <f>IF(A94&lt;7,1,IF(A94&lt;13,2,IF(A94&lt;24,3,4)))</f>
      </c>
      <c r="D94">
        <f>INDEX(Assumptions!$C:$E,MATCH("Starting monthly visits",Assumptions!$B:$B,0),MATCH(B94,Assumptions!$C$3:$E$3,0))*POWER(1+INDEX(Assumptions!$C:$E,MATCH("Monthly visit growth",Assumptions!$B:$B,0),MATCH(B94,Assumptions!$C$3:$E$3,0)),A94-1)*C94</f>
      </c>
      <c r="E94">
        <f>D94*INDEX(Assumptions!$C:$E,MATCH("Eligible user rate after geo/compliance",Assumptions!$B:$B,0),MATCH(B94,Assumptions!$C$3:$E$3,0))</f>
      </c>
      <c r="F94">
        <f>E94*INDEX(Assumptions!$C:$E,MATCH("Wallet connect rate",Assumptions!$B:$B,0),MATCH(B94,Assumptions!$C$3:$E$3,0))</f>
      </c>
      <c r="G94">
        <f>F94*INDEX(Assumptions!$C:$E,MATCH("USDC readiness rate",Assumptions!$B:$B,0),MATCH(B94,Assumptions!$C$3:$E$3,0))</f>
      </c>
      <c r="H94">
        <f>G94*INDEX(Assumptions!$C:$E,MATCH("First purchase conversion",Assumptions!$B:$B,0),MATCH(B94,Assumptions!$C$3:$E$3,0))</f>
      </c>
      <c r="I94">
        <f>J93*INDEX(Assumptions!$C:$E,MATCH("Repeat purchase rate",Assumptions!$B:$B,0),MATCH(B94,Assumptions!$C$3:$E$3,0))</f>
      </c>
      <c r="J94">
        <f>H94+I94</f>
      </c>
    </row>
    <row r="95">
      <c r="A95">
        <v>22</v>
      </c>
      <c r="B95" t="inlineStr">
        <is>
          <t>Upside</t>
        </is>
      </c>
      <c r="C95">
        <f>IF(A95&lt;7,1,IF(A95&lt;13,2,IF(A95&lt;24,3,4)))</f>
      </c>
      <c r="D95">
        <f>INDEX(Assumptions!$C:$E,MATCH("Starting monthly visits",Assumptions!$B:$B,0),MATCH(B95,Assumptions!$C$3:$E$3,0))*POWER(1+INDEX(Assumptions!$C:$E,MATCH("Monthly visit growth",Assumptions!$B:$B,0),MATCH(B95,Assumptions!$C$3:$E$3,0)),A95-1)*C95</f>
      </c>
      <c r="E95">
        <f>D95*INDEX(Assumptions!$C:$E,MATCH("Eligible user rate after geo/compliance",Assumptions!$B:$B,0),MATCH(B95,Assumptions!$C$3:$E$3,0))</f>
      </c>
      <c r="F95">
        <f>E95*INDEX(Assumptions!$C:$E,MATCH("Wallet connect rate",Assumptions!$B:$B,0),MATCH(B95,Assumptions!$C$3:$E$3,0))</f>
      </c>
      <c r="G95">
        <f>F95*INDEX(Assumptions!$C:$E,MATCH("USDC readiness rate",Assumptions!$B:$B,0),MATCH(B95,Assumptions!$C$3:$E$3,0))</f>
      </c>
      <c r="H95">
        <f>G95*INDEX(Assumptions!$C:$E,MATCH("First purchase conversion",Assumptions!$B:$B,0),MATCH(B95,Assumptions!$C$3:$E$3,0))</f>
      </c>
      <c r="I95">
        <f>J94*INDEX(Assumptions!$C:$E,MATCH("Repeat purchase rate",Assumptions!$B:$B,0),MATCH(B95,Assumptions!$C$3:$E$3,0))</f>
      </c>
      <c r="J95">
        <f>H95+I95</f>
      </c>
    </row>
    <row r="96">
      <c r="A96">
        <v>23</v>
      </c>
      <c r="B96" t="inlineStr">
        <is>
          <t>Upside</t>
        </is>
      </c>
      <c r="C96">
        <f>IF(A96&lt;7,1,IF(A96&lt;13,2,IF(A96&lt;24,3,4)))</f>
      </c>
      <c r="D96">
        <f>INDEX(Assumptions!$C:$E,MATCH("Starting monthly visits",Assumptions!$B:$B,0),MATCH(B96,Assumptions!$C$3:$E$3,0))*POWER(1+INDEX(Assumptions!$C:$E,MATCH("Monthly visit growth",Assumptions!$B:$B,0),MATCH(B96,Assumptions!$C$3:$E$3,0)),A96-1)*C96</f>
      </c>
      <c r="E96">
        <f>D96*INDEX(Assumptions!$C:$E,MATCH("Eligible user rate after geo/compliance",Assumptions!$B:$B,0),MATCH(B96,Assumptions!$C$3:$E$3,0))</f>
      </c>
      <c r="F96">
        <f>E96*INDEX(Assumptions!$C:$E,MATCH("Wallet connect rate",Assumptions!$B:$B,0),MATCH(B96,Assumptions!$C$3:$E$3,0))</f>
      </c>
      <c r="G96">
        <f>F96*INDEX(Assumptions!$C:$E,MATCH("USDC readiness rate",Assumptions!$B:$B,0),MATCH(B96,Assumptions!$C$3:$E$3,0))</f>
      </c>
      <c r="H96">
        <f>G96*INDEX(Assumptions!$C:$E,MATCH("First purchase conversion",Assumptions!$B:$B,0),MATCH(B96,Assumptions!$C$3:$E$3,0))</f>
      </c>
      <c r="I96">
        <f>J95*INDEX(Assumptions!$C:$E,MATCH("Repeat purchase rate",Assumptions!$B:$B,0),MATCH(B96,Assumptions!$C$3:$E$3,0))</f>
      </c>
      <c r="J96">
        <f>H96+I96</f>
      </c>
    </row>
    <row r="97">
      <c r="A97">
        <v>24</v>
      </c>
      <c r="B97" t="inlineStr">
        <is>
          <t>Upside</t>
        </is>
      </c>
      <c r="C97">
        <f>IF(A97&lt;7,1,IF(A97&lt;13,2,IF(A97&lt;24,3,4)))</f>
      </c>
      <c r="D97">
        <f>INDEX(Assumptions!$C:$E,MATCH("Starting monthly visits",Assumptions!$B:$B,0),MATCH(B97,Assumptions!$C$3:$E$3,0))*POWER(1+INDEX(Assumptions!$C:$E,MATCH("Monthly visit growth",Assumptions!$B:$B,0),MATCH(B97,Assumptions!$C$3:$E$3,0)),A97-1)*C97</f>
      </c>
      <c r="E97">
        <f>D97*INDEX(Assumptions!$C:$E,MATCH("Eligible user rate after geo/compliance",Assumptions!$B:$B,0),MATCH(B97,Assumptions!$C$3:$E$3,0))</f>
      </c>
      <c r="F97">
        <f>E97*INDEX(Assumptions!$C:$E,MATCH("Wallet connect rate",Assumptions!$B:$B,0),MATCH(B97,Assumptions!$C$3:$E$3,0))</f>
      </c>
      <c r="G97">
        <f>F97*INDEX(Assumptions!$C:$E,MATCH("USDC readiness rate",Assumptions!$B:$B,0),MATCH(B97,Assumptions!$C$3:$E$3,0))</f>
      </c>
      <c r="H97">
        <f>G97*INDEX(Assumptions!$C:$E,MATCH("First purchase conversion",Assumptions!$B:$B,0),MATCH(B97,Assumptions!$C$3:$E$3,0))</f>
      </c>
      <c r="I97">
        <f>J96*INDEX(Assumptions!$C:$E,MATCH("Repeat purchase rate",Assumptions!$B:$B,0),MATCH(B97,Assumptions!$C$3:$E$3,0))</f>
      </c>
      <c r="J97">
        <f>H97+I97</f>
      </c>
    </row>
    <row r="98">
      <c r="A98">
        <v>25</v>
      </c>
      <c r="B98" t="inlineStr">
        <is>
          <t>Upside</t>
        </is>
      </c>
      <c r="C98">
        <f>IF(A98&lt;7,1,IF(A98&lt;13,2,IF(A98&lt;24,3,4)))</f>
      </c>
      <c r="D98">
        <f>INDEX(Assumptions!$C:$E,MATCH("Starting monthly visits",Assumptions!$B:$B,0),MATCH(B98,Assumptions!$C$3:$E$3,0))*POWER(1+INDEX(Assumptions!$C:$E,MATCH("Monthly visit growth",Assumptions!$B:$B,0),MATCH(B98,Assumptions!$C$3:$E$3,0)),A98-1)*C98</f>
      </c>
      <c r="E98">
        <f>D98*INDEX(Assumptions!$C:$E,MATCH("Eligible user rate after geo/compliance",Assumptions!$B:$B,0),MATCH(B98,Assumptions!$C$3:$E$3,0))</f>
      </c>
      <c r="F98">
        <f>E98*INDEX(Assumptions!$C:$E,MATCH("Wallet connect rate",Assumptions!$B:$B,0),MATCH(B98,Assumptions!$C$3:$E$3,0))</f>
      </c>
      <c r="G98">
        <f>F98*INDEX(Assumptions!$C:$E,MATCH("USDC readiness rate",Assumptions!$B:$B,0),MATCH(B98,Assumptions!$C$3:$E$3,0))</f>
      </c>
      <c r="H98">
        <f>G98*INDEX(Assumptions!$C:$E,MATCH("First purchase conversion",Assumptions!$B:$B,0),MATCH(B98,Assumptions!$C$3:$E$3,0))</f>
      </c>
      <c r="I98">
        <f>J97*INDEX(Assumptions!$C:$E,MATCH("Repeat purchase rate",Assumptions!$B:$B,0),MATCH(B98,Assumptions!$C$3:$E$3,0))</f>
      </c>
      <c r="J98">
        <f>H98+I98</f>
      </c>
    </row>
    <row r="99">
      <c r="A99">
        <v>26</v>
      </c>
      <c r="B99" t="inlineStr">
        <is>
          <t>Upside</t>
        </is>
      </c>
      <c r="C99">
        <f>IF(A99&lt;7,1,IF(A99&lt;13,2,IF(A99&lt;24,3,4)))</f>
      </c>
      <c r="D99">
        <f>INDEX(Assumptions!$C:$E,MATCH("Starting monthly visits",Assumptions!$B:$B,0),MATCH(B99,Assumptions!$C$3:$E$3,0))*POWER(1+INDEX(Assumptions!$C:$E,MATCH("Monthly visit growth",Assumptions!$B:$B,0),MATCH(B99,Assumptions!$C$3:$E$3,0)),A99-1)*C99</f>
      </c>
      <c r="E99">
        <f>D99*INDEX(Assumptions!$C:$E,MATCH("Eligible user rate after geo/compliance",Assumptions!$B:$B,0),MATCH(B99,Assumptions!$C$3:$E$3,0))</f>
      </c>
      <c r="F99">
        <f>E99*INDEX(Assumptions!$C:$E,MATCH("Wallet connect rate",Assumptions!$B:$B,0),MATCH(B99,Assumptions!$C$3:$E$3,0))</f>
      </c>
      <c r="G99">
        <f>F99*INDEX(Assumptions!$C:$E,MATCH("USDC readiness rate",Assumptions!$B:$B,0),MATCH(B99,Assumptions!$C$3:$E$3,0))</f>
      </c>
      <c r="H99">
        <f>G99*INDEX(Assumptions!$C:$E,MATCH("First purchase conversion",Assumptions!$B:$B,0),MATCH(B99,Assumptions!$C$3:$E$3,0))</f>
      </c>
      <c r="I99">
        <f>J98*INDEX(Assumptions!$C:$E,MATCH("Repeat purchase rate",Assumptions!$B:$B,0),MATCH(B99,Assumptions!$C$3:$E$3,0))</f>
      </c>
      <c r="J99">
        <f>H99+I99</f>
      </c>
    </row>
    <row r="100">
      <c r="A100">
        <v>27</v>
      </c>
      <c r="B100" t="inlineStr">
        <is>
          <t>Upside</t>
        </is>
      </c>
      <c r="C100">
        <f>IF(A100&lt;7,1,IF(A100&lt;13,2,IF(A100&lt;24,3,4)))</f>
      </c>
      <c r="D100">
        <f>INDEX(Assumptions!$C:$E,MATCH("Starting monthly visits",Assumptions!$B:$B,0),MATCH(B100,Assumptions!$C$3:$E$3,0))*POWER(1+INDEX(Assumptions!$C:$E,MATCH("Monthly visit growth",Assumptions!$B:$B,0),MATCH(B100,Assumptions!$C$3:$E$3,0)),A100-1)*C100</f>
      </c>
      <c r="E100">
        <f>D100*INDEX(Assumptions!$C:$E,MATCH("Eligible user rate after geo/compliance",Assumptions!$B:$B,0),MATCH(B100,Assumptions!$C$3:$E$3,0))</f>
      </c>
      <c r="F100">
        <f>E100*INDEX(Assumptions!$C:$E,MATCH("Wallet connect rate",Assumptions!$B:$B,0),MATCH(B100,Assumptions!$C$3:$E$3,0))</f>
      </c>
      <c r="G100">
        <f>F100*INDEX(Assumptions!$C:$E,MATCH("USDC readiness rate",Assumptions!$B:$B,0),MATCH(B100,Assumptions!$C$3:$E$3,0))</f>
      </c>
      <c r="H100">
        <f>G100*INDEX(Assumptions!$C:$E,MATCH("First purchase conversion",Assumptions!$B:$B,0),MATCH(B100,Assumptions!$C$3:$E$3,0))</f>
      </c>
      <c r="I100">
        <f>J99*INDEX(Assumptions!$C:$E,MATCH("Repeat purchase rate",Assumptions!$B:$B,0),MATCH(B100,Assumptions!$C$3:$E$3,0))</f>
      </c>
      <c r="J100">
        <f>H100+I100</f>
      </c>
    </row>
    <row r="101">
      <c r="A101">
        <v>28</v>
      </c>
      <c r="B101" t="inlineStr">
        <is>
          <t>Upside</t>
        </is>
      </c>
      <c r="C101">
        <f>IF(A101&lt;7,1,IF(A101&lt;13,2,IF(A101&lt;24,3,4)))</f>
      </c>
      <c r="D101">
        <f>INDEX(Assumptions!$C:$E,MATCH("Starting monthly visits",Assumptions!$B:$B,0),MATCH(B101,Assumptions!$C$3:$E$3,0))*POWER(1+INDEX(Assumptions!$C:$E,MATCH("Monthly visit growth",Assumptions!$B:$B,0),MATCH(B101,Assumptions!$C$3:$E$3,0)),A101-1)*C101</f>
      </c>
      <c r="E101">
        <f>D101*INDEX(Assumptions!$C:$E,MATCH("Eligible user rate after geo/compliance",Assumptions!$B:$B,0),MATCH(B101,Assumptions!$C$3:$E$3,0))</f>
      </c>
      <c r="F101">
        <f>E101*INDEX(Assumptions!$C:$E,MATCH("Wallet connect rate",Assumptions!$B:$B,0),MATCH(B101,Assumptions!$C$3:$E$3,0))</f>
      </c>
      <c r="G101">
        <f>F101*INDEX(Assumptions!$C:$E,MATCH("USDC readiness rate",Assumptions!$B:$B,0),MATCH(B101,Assumptions!$C$3:$E$3,0))</f>
      </c>
      <c r="H101">
        <f>G101*INDEX(Assumptions!$C:$E,MATCH("First purchase conversion",Assumptions!$B:$B,0),MATCH(B101,Assumptions!$C$3:$E$3,0))</f>
      </c>
      <c r="I101">
        <f>J100*INDEX(Assumptions!$C:$E,MATCH("Repeat purchase rate",Assumptions!$B:$B,0),MATCH(B101,Assumptions!$C$3:$E$3,0))</f>
      </c>
      <c r="J101">
        <f>H101+I101</f>
      </c>
    </row>
    <row r="102">
      <c r="A102">
        <v>29</v>
      </c>
      <c r="B102" t="inlineStr">
        <is>
          <t>Upside</t>
        </is>
      </c>
      <c r="C102">
        <f>IF(A102&lt;7,1,IF(A102&lt;13,2,IF(A102&lt;24,3,4)))</f>
      </c>
      <c r="D102">
        <f>INDEX(Assumptions!$C:$E,MATCH("Starting monthly visits",Assumptions!$B:$B,0),MATCH(B102,Assumptions!$C$3:$E$3,0))*POWER(1+INDEX(Assumptions!$C:$E,MATCH("Monthly visit growth",Assumptions!$B:$B,0),MATCH(B102,Assumptions!$C$3:$E$3,0)),A102-1)*C102</f>
      </c>
      <c r="E102">
        <f>D102*INDEX(Assumptions!$C:$E,MATCH("Eligible user rate after geo/compliance",Assumptions!$B:$B,0),MATCH(B102,Assumptions!$C$3:$E$3,0))</f>
      </c>
      <c r="F102">
        <f>E102*INDEX(Assumptions!$C:$E,MATCH("Wallet connect rate",Assumptions!$B:$B,0),MATCH(B102,Assumptions!$C$3:$E$3,0))</f>
      </c>
      <c r="G102">
        <f>F102*INDEX(Assumptions!$C:$E,MATCH("USDC readiness rate",Assumptions!$B:$B,0),MATCH(B102,Assumptions!$C$3:$E$3,0))</f>
      </c>
      <c r="H102">
        <f>G102*INDEX(Assumptions!$C:$E,MATCH("First purchase conversion",Assumptions!$B:$B,0),MATCH(B102,Assumptions!$C$3:$E$3,0))</f>
      </c>
      <c r="I102">
        <f>J101*INDEX(Assumptions!$C:$E,MATCH("Repeat purchase rate",Assumptions!$B:$B,0),MATCH(B102,Assumptions!$C$3:$E$3,0))</f>
      </c>
      <c r="J102">
        <f>H102+I102</f>
      </c>
    </row>
    <row r="103">
      <c r="A103">
        <v>30</v>
      </c>
      <c r="B103" t="inlineStr">
        <is>
          <t>Upside</t>
        </is>
      </c>
      <c r="C103">
        <f>IF(A103&lt;7,1,IF(A103&lt;13,2,IF(A103&lt;24,3,4)))</f>
      </c>
      <c r="D103">
        <f>INDEX(Assumptions!$C:$E,MATCH("Starting monthly visits",Assumptions!$B:$B,0),MATCH(B103,Assumptions!$C$3:$E$3,0))*POWER(1+INDEX(Assumptions!$C:$E,MATCH("Monthly visit growth",Assumptions!$B:$B,0),MATCH(B103,Assumptions!$C$3:$E$3,0)),A103-1)*C103</f>
      </c>
      <c r="E103">
        <f>D103*INDEX(Assumptions!$C:$E,MATCH("Eligible user rate after geo/compliance",Assumptions!$B:$B,0),MATCH(B103,Assumptions!$C$3:$E$3,0))</f>
      </c>
      <c r="F103">
        <f>E103*INDEX(Assumptions!$C:$E,MATCH("Wallet connect rate",Assumptions!$B:$B,0),MATCH(B103,Assumptions!$C$3:$E$3,0))</f>
      </c>
      <c r="G103">
        <f>F103*INDEX(Assumptions!$C:$E,MATCH("USDC readiness rate",Assumptions!$B:$B,0),MATCH(B103,Assumptions!$C$3:$E$3,0))</f>
      </c>
      <c r="H103">
        <f>G103*INDEX(Assumptions!$C:$E,MATCH("First purchase conversion",Assumptions!$B:$B,0),MATCH(B103,Assumptions!$C$3:$E$3,0))</f>
      </c>
      <c r="I103">
        <f>J102*INDEX(Assumptions!$C:$E,MATCH("Repeat purchase rate",Assumptions!$B:$B,0),MATCH(B103,Assumptions!$C$3:$E$3,0))</f>
      </c>
      <c r="J103">
        <f>H103+I103</f>
      </c>
    </row>
    <row r="104">
      <c r="A104">
        <v>31</v>
      </c>
      <c r="B104" t="inlineStr">
        <is>
          <t>Upside</t>
        </is>
      </c>
      <c r="C104">
        <f>IF(A104&lt;7,1,IF(A104&lt;13,2,IF(A104&lt;24,3,4)))</f>
      </c>
      <c r="D104">
        <f>INDEX(Assumptions!$C:$E,MATCH("Starting monthly visits",Assumptions!$B:$B,0),MATCH(B104,Assumptions!$C$3:$E$3,0))*POWER(1+INDEX(Assumptions!$C:$E,MATCH("Monthly visit growth",Assumptions!$B:$B,0),MATCH(B104,Assumptions!$C$3:$E$3,0)),A104-1)*C104</f>
      </c>
      <c r="E104">
        <f>D104*INDEX(Assumptions!$C:$E,MATCH("Eligible user rate after geo/compliance",Assumptions!$B:$B,0),MATCH(B104,Assumptions!$C$3:$E$3,0))</f>
      </c>
      <c r="F104">
        <f>E104*INDEX(Assumptions!$C:$E,MATCH("Wallet connect rate",Assumptions!$B:$B,0),MATCH(B104,Assumptions!$C$3:$E$3,0))</f>
      </c>
      <c r="G104">
        <f>F104*INDEX(Assumptions!$C:$E,MATCH("USDC readiness rate",Assumptions!$B:$B,0),MATCH(B104,Assumptions!$C$3:$E$3,0))</f>
      </c>
      <c r="H104">
        <f>G104*INDEX(Assumptions!$C:$E,MATCH("First purchase conversion",Assumptions!$B:$B,0),MATCH(B104,Assumptions!$C$3:$E$3,0))</f>
      </c>
      <c r="I104">
        <f>J103*INDEX(Assumptions!$C:$E,MATCH("Repeat purchase rate",Assumptions!$B:$B,0),MATCH(B104,Assumptions!$C$3:$E$3,0))</f>
      </c>
      <c r="J104">
        <f>H104+I104</f>
      </c>
    </row>
    <row r="105">
      <c r="A105">
        <v>32</v>
      </c>
      <c r="B105" t="inlineStr">
        <is>
          <t>Upside</t>
        </is>
      </c>
      <c r="C105">
        <f>IF(A105&lt;7,1,IF(A105&lt;13,2,IF(A105&lt;24,3,4)))</f>
      </c>
      <c r="D105">
        <f>INDEX(Assumptions!$C:$E,MATCH("Starting monthly visits",Assumptions!$B:$B,0),MATCH(B105,Assumptions!$C$3:$E$3,0))*POWER(1+INDEX(Assumptions!$C:$E,MATCH("Monthly visit growth",Assumptions!$B:$B,0),MATCH(B105,Assumptions!$C$3:$E$3,0)),A105-1)*C105</f>
      </c>
      <c r="E105">
        <f>D105*INDEX(Assumptions!$C:$E,MATCH("Eligible user rate after geo/compliance",Assumptions!$B:$B,0),MATCH(B105,Assumptions!$C$3:$E$3,0))</f>
      </c>
      <c r="F105">
        <f>E105*INDEX(Assumptions!$C:$E,MATCH("Wallet connect rate",Assumptions!$B:$B,0),MATCH(B105,Assumptions!$C$3:$E$3,0))</f>
      </c>
      <c r="G105">
        <f>F105*INDEX(Assumptions!$C:$E,MATCH("USDC readiness rate",Assumptions!$B:$B,0),MATCH(B105,Assumptions!$C$3:$E$3,0))</f>
      </c>
      <c r="H105">
        <f>G105*INDEX(Assumptions!$C:$E,MATCH("First purchase conversion",Assumptions!$B:$B,0),MATCH(B105,Assumptions!$C$3:$E$3,0))</f>
      </c>
      <c r="I105">
        <f>J104*INDEX(Assumptions!$C:$E,MATCH("Repeat purchase rate",Assumptions!$B:$B,0),MATCH(B105,Assumptions!$C$3:$E$3,0))</f>
      </c>
      <c r="J105">
        <f>H105+I105</f>
      </c>
    </row>
    <row r="106">
      <c r="A106">
        <v>33</v>
      </c>
      <c r="B106" t="inlineStr">
        <is>
          <t>Upside</t>
        </is>
      </c>
      <c r="C106">
        <f>IF(A106&lt;7,1,IF(A106&lt;13,2,IF(A106&lt;24,3,4)))</f>
      </c>
      <c r="D106">
        <f>INDEX(Assumptions!$C:$E,MATCH("Starting monthly visits",Assumptions!$B:$B,0),MATCH(B106,Assumptions!$C$3:$E$3,0))*POWER(1+INDEX(Assumptions!$C:$E,MATCH("Monthly visit growth",Assumptions!$B:$B,0),MATCH(B106,Assumptions!$C$3:$E$3,0)),A106-1)*C106</f>
      </c>
      <c r="E106">
        <f>D106*INDEX(Assumptions!$C:$E,MATCH("Eligible user rate after geo/compliance",Assumptions!$B:$B,0),MATCH(B106,Assumptions!$C$3:$E$3,0))</f>
      </c>
      <c r="F106">
        <f>E106*INDEX(Assumptions!$C:$E,MATCH("Wallet connect rate",Assumptions!$B:$B,0),MATCH(B106,Assumptions!$C$3:$E$3,0))</f>
      </c>
      <c r="G106">
        <f>F106*INDEX(Assumptions!$C:$E,MATCH("USDC readiness rate",Assumptions!$B:$B,0),MATCH(B106,Assumptions!$C$3:$E$3,0))</f>
      </c>
      <c r="H106">
        <f>G106*INDEX(Assumptions!$C:$E,MATCH("First purchase conversion",Assumptions!$B:$B,0),MATCH(B106,Assumptions!$C$3:$E$3,0))</f>
      </c>
      <c r="I106">
        <f>J105*INDEX(Assumptions!$C:$E,MATCH("Repeat purchase rate",Assumptions!$B:$B,0),MATCH(B106,Assumptions!$C$3:$E$3,0))</f>
      </c>
      <c r="J106">
        <f>H106+I106</f>
      </c>
    </row>
    <row r="107">
      <c r="A107">
        <v>34</v>
      </c>
      <c r="B107" t="inlineStr">
        <is>
          <t>Upside</t>
        </is>
      </c>
      <c r="C107">
        <f>IF(A107&lt;7,1,IF(A107&lt;13,2,IF(A107&lt;24,3,4)))</f>
      </c>
      <c r="D107">
        <f>INDEX(Assumptions!$C:$E,MATCH("Starting monthly visits",Assumptions!$B:$B,0),MATCH(B107,Assumptions!$C$3:$E$3,0))*POWER(1+INDEX(Assumptions!$C:$E,MATCH("Monthly visit growth",Assumptions!$B:$B,0),MATCH(B107,Assumptions!$C$3:$E$3,0)),A107-1)*C107</f>
      </c>
      <c r="E107">
        <f>D107*INDEX(Assumptions!$C:$E,MATCH("Eligible user rate after geo/compliance",Assumptions!$B:$B,0),MATCH(B107,Assumptions!$C$3:$E$3,0))</f>
      </c>
      <c r="F107">
        <f>E107*INDEX(Assumptions!$C:$E,MATCH("Wallet connect rate",Assumptions!$B:$B,0),MATCH(B107,Assumptions!$C$3:$E$3,0))</f>
      </c>
      <c r="G107">
        <f>F107*INDEX(Assumptions!$C:$E,MATCH("USDC readiness rate",Assumptions!$B:$B,0),MATCH(B107,Assumptions!$C$3:$E$3,0))</f>
      </c>
      <c r="H107">
        <f>G107*INDEX(Assumptions!$C:$E,MATCH("First purchase conversion",Assumptions!$B:$B,0),MATCH(B107,Assumptions!$C$3:$E$3,0))</f>
      </c>
      <c r="I107">
        <f>J106*INDEX(Assumptions!$C:$E,MATCH("Repeat purchase rate",Assumptions!$B:$B,0),MATCH(B107,Assumptions!$C$3:$E$3,0))</f>
      </c>
      <c r="J107">
        <f>H107+I107</f>
      </c>
    </row>
    <row r="108">
      <c r="A108">
        <v>35</v>
      </c>
      <c r="B108" t="inlineStr">
        <is>
          <t>Upside</t>
        </is>
      </c>
      <c r="C108">
        <f>IF(A108&lt;7,1,IF(A108&lt;13,2,IF(A108&lt;24,3,4)))</f>
      </c>
      <c r="D108">
        <f>INDEX(Assumptions!$C:$E,MATCH("Starting monthly visits",Assumptions!$B:$B,0),MATCH(B108,Assumptions!$C$3:$E$3,0))*POWER(1+INDEX(Assumptions!$C:$E,MATCH("Monthly visit growth",Assumptions!$B:$B,0),MATCH(B108,Assumptions!$C$3:$E$3,0)),A108-1)*C108</f>
      </c>
      <c r="E108">
        <f>D108*INDEX(Assumptions!$C:$E,MATCH("Eligible user rate after geo/compliance",Assumptions!$B:$B,0),MATCH(B108,Assumptions!$C$3:$E$3,0))</f>
      </c>
      <c r="F108">
        <f>E108*INDEX(Assumptions!$C:$E,MATCH("Wallet connect rate",Assumptions!$B:$B,0),MATCH(B108,Assumptions!$C$3:$E$3,0))</f>
      </c>
      <c r="G108">
        <f>F108*INDEX(Assumptions!$C:$E,MATCH("USDC readiness rate",Assumptions!$B:$B,0),MATCH(B108,Assumptions!$C$3:$E$3,0))</f>
      </c>
      <c r="H108">
        <f>G108*INDEX(Assumptions!$C:$E,MATCH("First purchase conversion",Assumptions!$B:$B,0),MATCH(B108,Assumptions!$C$3:$E$3,0))</f>
      </c>
      <c r="I108">
        <f>J107*INDEX(Assumptions!$C:$E,MATCH("Repeat purchase rate",Assumptions!$B:$B,0),MATCH(B108,Assumptions!$C$3:$E$3,0))</f>
      </c>
      <c r="J108">
        <f>H108+I108</f>
      </c>
    </row>
    <row r="109">
      <c r="A109">
        <v>36</v>
      </c>
      <c r="B109" t="inlineStr">
        <is>
          <t>Upside</t>
        </is>
      </c>
      <c r="C109">
        <f>IF(A109&lt;7,1,IF(A109&lt;13,2,IF(A109&lt;24,3,4)))</f>
      </c>
      <c r="D109">
        <f>INDEX(Assumptions!$C:$E,MATCH("Starting monthly visits",Assumptions!$B:$B,0),MATCH(B109,Assumptions!$C$3:$E$3,0))*POWER(1+INDEX(Assumptions!$C:$E,MATCH("Monthly visit growth",Assumptions!$B:$B,0),MATCH(B109,Assumptions!$C$3:$E$3,0)),A109-1)*C109</f>
      </c>
      <c r="E109">
        <f>D109*INDEX(Assumptions!$C:$E,MATCH("Eligible user rate after geo/compliance",Assumptions!$B:$B,0),MATCH(B109,Assumptions!$C$3:$E$3,0))</f>
      </c>
      <c r="F109">
        <f>E109*INDEX(Assumptions!$C:$E,MATCH("Wallet connect rate",Assumptions!$B:$B,0),MATCH(B109,Assumptions!$C$3:$E$3,0))</f>
      </c>
      <c r="G109">
        <f>F109*INDEX(Assumptions!$C:$E,MATCH("USDC readiness rate",Assumptions!$B:$B,0),MATCH(B109,Assumptions!$C$3:$E$3,0))</f>
      </c>
      <c r="H109">
        <f>G109*INDEX(Assumptions!$C:$E,MATCH("First purchase conversion",Assumptions!$B:$B,0),MATCH(B109,Assumptions!$C$3:$E$3,0))</f>
      </c>
      <c r="I109">
        <f>J108*INDEX(Assumptions!$C:$E,MATCH("Repeat purchase rate",Assumptions!$B:$B,0),MATCH(B109,Assumptions!$C$3:$E$3,0))</f>
      </c>
      <c r="J109">
        <f>H109+I109</f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cols>
    <col min="1" max="1" width="10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22" customWidth="1"/>
    <col min="10" max="10" width="16" customWidth="1"/>
    <col min="11" max="11" width="28" customWidth="1"/>
  </cols>
  <sheetData>
    <row r="1">
      <c r="A1" t="inlineStr">
        <is>
          <t>Month</t>
        </is>
      </c>
      <c r="B1" t="inlineStr">
        <is>
          <t>Scenario</t>
        </is>
      </c>
      <c r="C1" t="inlineStr">
        <is>
          <t>Active users</t>
        </is>
      </c>
      <c r="D1" t="inlineStr">
        <is>
          <t>Tickets sold</t>
        </is>
      </c>
      <c r="E1" t="inlineStr">
        <is>
          <t>Average ticket</t>
        </is>
      </c>
      <c r="F1" t="inlineStr">
        <is>
          <t>GMV</t>
        </is>
      </c>
      <c r="G1" t="inlineStr">
        <is>
          <t>Prize pool</t>
        </is>
      </c>
      <c r="H1" t="inlineStr">
        <is>
          <t>Platform fee</t>
        </is>
      </c>
      <c r="I1" t="inlineStr">
        <is>
          <t>Jackpot contribution</t>
        </is>
      </c>
      <c r="J1" t="inlineStr">
        <is>
          <t>Gas reserve</t>
        </is>
      </c>
      <c r="K1" t="inlineStr">
        <is>
          <t>Net platform revenue before OPEX</t>
        </is>
      </c>
    </row>
    <row r="2">
      <c r="A2">
        <v>1</v>
      </c>
      <c r="B2" t="inlineStr">
        <is>
          <t>Conservative</t>
        </is>
      </c>
      <c r="C2">
        <f>SUMIFS(Funnel!$J:$J,Funnel!$A:$A,A2,Funnel!$B:$B,B2)</f>
      </c>
      <c r="D2">
        <f>C2*INDEX(Assumptions!$C:$E,MATCH("Tickets per active user per month",Assumptions!$B:$B,0),MATCH(B2,Assumptions!$C$3:$E$3,0))</f>
      </c>
      <c r="E2">
        <f>INDEX(Assumptions!$C:$E,MATCH("Average ticket",Assumptions!$B:$B,0),MATCH(B2,Assumptions!$C$3:$E$3,0))</f>
      </c>
      <c r="F2">
        <f>D2*E2</f>
      </c>
      <c r="G2">
        <f>F2*INDEX(Assumptions!$C:$E,MATCH("Prize pool share",Assumptions!$B:$B,0),MATCH(B2,Assumptions!$C$3:$E$3,0))</f>
      </c>
      <c r="H2">
        <f>F2*INDEX(Assumptions!$C:$E,MATCH("Platform fee share",Assumptions!$B:$B,0),MATCH(B2,Assumptions!$C$3:$E$3,0))</f>
      </c>
      <c r="I2">
        <f>F2*INDEX(Assumptions!$C:$E,MATCH("Jackpot contribution share",Assumptions!$B:$B,0),MATCH(B2,Assumptions!$C$3:$E$3,0))</f>
      </c>
      <c r="J2">
        <f>H2*INDEX(Assumptions!$C:$E,MATCH("Gas reserve share of platform fee",Assumptions!$B:$B,0),MATCH(B2,Assumptions!$C$3:$E$3,0))</f>
      </c>
      <c r="K2">
        <f>H2-J2</f>
      </c>
    </row>
    <row r="3">
      <c r="A3">
        <v>2</v>
      </c>
      <c r="B3" t="inlineStr">
        <is>
          <t>Conservative</t>
        </is>
      </c>
      <c r="C3">
        <f>SUMIFS(Funnel!$J:$J,Funnel!$A:$A,A3,Funnel!$B:$B,B3)</f>
      </c>
      <c r="D3">
        <f>C3*INDEX(Assumptions!$C:$E,MATCH("Tickets per active user per month",Assumptions!$B:$B,0),MATCH(B3,Assumptions!$C$3:$E$3,0))</f>
      </c>
      <c r="E3">
        <f>INDEX(Assumptions!$C:$E,MATCH("Average ticket",Assumptions!$B:$B,0),MATCH(B3,Assumptions!$C$3:$E$3,0))</f>
      </c>
      <c r="F3">
        <f>D3*E3</f>
      </c>
      <c r="G3">
        <f>F3*INDEX(Assumptions!$C:$E,MATCH("Prize pool share",Assumptions!$B:$B,0),MATCH(B3,Assumptions!$C$3:$E$3,0))</f>
      </c>
      <c r="H3">
        <f>F3*INDEX(Assumptions!$C:$E,MATCH("Platform fee share",Assumptions!$B:$B,0),MATCH(B3,Assumptions!$C$3:$E$3,0))</f>
      </c>
      <c r="I3">
        <f>F3*INDEX(Assumptions!$C:$E,MATCH("Jackpot contribution share",Assumptions!$B:$B,0),MATCH(B3,Assumptions!$C$3:$E$3,0))</f>
      </c>
      <c r="J3">
        <f>H3*INDEX(Assumptions!$C:$E,MATCH("Gas reserve share of platform fee",Assumptions!$B:$B,0),MATCH(B3,Assumptions!$C$3:$E$3,0))</f>
      </c>
      <c r="K3">
        <f>H3-J3</f>
      </c>
    </row>
    <row r="4">
      <c r="A4">
        <v>3</v>
      </c>
      <c r="B4" t="inlineStr">
        <is>
          <t>Conservative</t>
        </is>
      </c>
      <c r="C4">
        <f>SUMIFS(Funnel!$J:$J,Funnel!$A:$A,A4,Funnel!$B:$B,B4)</f>
      </c>
      <c r="D4">
        <f>C4*INDEX(Assumptions!$C:$E,MATCH("Tickets per active user per month",Assumptions!$B:$B,0),MATCH(B4,Assumptions!$C$3:$E$3,0))</f>
      </c>
      <c r="E4">
        <f>INDEX(Assumptions!$C:$E,MATCH("Average ticket",Assumptions!$B:$B,0),MATCH(B4,Assumptions!$C$3:$E$3,0))</f>
      </c>
      <c r="F4">
        <f>D4*E4</f>
      </c>
      <c r="G4">
        <f>F4*INDEX(Assumptions!$C:$E,MATCH("Prize pool share",Assumptions!$B:$B,0),MATCH(B4,Assumptions!$C$3:$E$3,0))</f>
      </c>
      <c r="H4">
        <f>F4*INDEX(Assumptions!$C:$E,MATCH("Platform fee share",Assumptions!$B:$B,0),MATCH(B4,Assumptions!$C$3:$E$3,0))</f>
      </c>
      <c r="I4">
        <f>F4*INDEX(Assumptions!$C:$E,MATCH("Jackpot contribution share",Assumptions!$B:$B,0),MATCH(B4,Assumptions!$C$3:$E$3,0))</f>
      </c>
      <c r="J4">
        <f>H4*INDEX(Assumptions!$C:$E,MATCH("Gas reserve share of platform fee",Assumptions!$B:$B,0),MATCH(B4,Assumptions!$C$3:$E$3,0))</f>
      </c>
      <c r="K4">
        <f>H4-J4</f>
      </c>
    </row>
    <row r="5">
      <c r="A5">
        <v>4</v>
      </c>
      <c r="B5" t="inlineStr">
        <is>
          <t>Conservative</t>
        </is>
      </c>
      <c r="C5">
        <f>SUMIFS(Funnel!$J:$J,Funnel!$A:$A,A5,Funnel!$B:$B,B5)</f>
      </c>
      <c r="D5">
        <f>C5*INDEX(Assumptions!$C:$E,MATCH("Tickets per active user per month",Assumptions!$B:$B,0),MATCH(B5,Assumptions!$C$3:$E$3,0))</f>
      </c>
      <c r="E5">
        <f>INDEX(Assumptions!$C:$E,MATCH("Average ticket",Assumptions!$B:$B,0),MATCH(B5,Assumptions!$C$3:$E$3,0))</f>
      </c>
      <c r="F5">
        <f>D5*E5</f>
      </c>
      <c r="G5">
        <f>F5*INDEX(Assumptions!$C:$E,MATCH("Prize pool share",Assumptions!$B:$B,0),MATCH(B5,Assumptions!$C$3:$E$3,0))</f>
      </c>
      <c r="H5">
        <f>F5*INDEX(Assumptions!$C:$E,MATCH("Platform fee share",Assumptions!$B:$B,0),MATCH(B5,Assumptions!$C$3:$E$3,0))</f>
      </c>
      <c r="I5">
        <f>F5*INDEX(Assumptions!$C:$E,MATCH("Jackpot contribution share",Assumptions!$B:$B,0),MATCH(B5,Assumptions!$C$3:$E$3,0))</f>
      </c>
      <c r="J5">
        <f>H5*INDEX(Assumptions!$C:$E,MATCH("Gas reserve share of platform fee",Assumptions!$B:$B,0),MATCH(B5,Assumptions!$C$3:$E$3,0))</f>
      </c>
      <c r="K5">
        <f>H5-J5</f>
      </c>
    </row>
    <row r="6">
      <c r="A6">
        <v>5</v>
      </c>
      <c r="B6" t="inlineStr">
        <is>
          <t>Conservative</t>
        </is>
      </c>
      <c r="C6">
        <f>SUMIFS(Funnel!$J:$J,Funnel!$A:$A,A6,Funnel!$B:$B,B6)</f>
      </c>
      <c r="D6">
        <f>C6*INDEX(Assumptions!$C:$E,MATCH("Tickets per active user per month",Assumptions!$B:$B,0),MATCH(B6,Assumptions!$C$3:$E$3,0))</f>
      </c>
      <c r="E6">
        <f>INDEX(Assumptions!$C:$E,MATCH("Average ticket",Assumptions!$B:$B,0),MATCH(B6,Assumptions!$C$3:$E$3,0))</f>
      </c>
      <c r="F6">
        <f>D6*E6</f>
      </c>
      <c r="G6">
        <f>F6*INDEX(Assumptions!$C:$E,MATCH("Prize pool share",Assumptions!$B:$B,0),MATCH(B6,Assumptions!$C$3:$E$3,0))</f>
      </c>
      <c r="H6">
        <f>F6*INDEX(Assumptions!$C:$E,MATCH("Platform fee share",Assumptions!$B:$B,0),MATCH(B6,Assumptions!$C$3:$E$3,0))</f>
      </c>
      <c r="I6">
        <f>F6*INDEX(Assumptions!$C:$E,MATCH("Jackpot contribution share",Assumptions!$B:$B,0),MATCH(B6,Assumptions!$C$3:$E$3,0))</f>
      </c>
      <c r="J6">
        <f>H6*INDEX(Assumptions!$C:$E,MATCH("Gas reserve share of platform fee",Assumptions!$B:$B,0),MATCH(B6,Assumptions!$C$3:$E$3,0))</f>
      </c>
      <c r="K6">
        <f>H6-J6</f>
      </c>
    </row>
    <row r="7">
      <c r="A7">
        <v>6</v>
      </c>
      <c r="B7" t="inlineStr">
        <is>
          <t>Conservative</t>
        </is>
      </c>
      <c r="C7">
        <f>SUMIFS(Funnel!$J:$J,Funnel!$A:$A,A7,Funnel!$B:$B,B7)</f>
      </c>
      <c r="D7">
        <f>C7*INDEX(Assumptions!$C:$E,MATCH("Tickets per active user per month",Assumptions!$B:$B,0),MATCH(B7,Assumptions!$C$3:$E$3,0))</f>
      </c>
      <c r="E7">
        <f>INDEX(Assumptions!$C:$E,MATCH("Average ticket",Assumptions!$B:$B,0),MATCH(B7,Assumptions!$C$3:$E$3,0))</f>
      </c>
      <c r="F7">
        <f>D7*E7</f>
      </c>
      <c r="G7">
        <f>F7*INDEX(Assumptions!$C:$E,MATCH("Prize pool share",Assumptions!$B:$B,0),MATCH(B7,Assumptions!$C$3:$E$3,0))</f>
      </c>
      <c r="H7">
        <f>F7*INDEX(Assumptions!$C:$E,MATCH("Platform fee share",Assumptions!$B:$B,0),MATCH(B7,Assumptions!$C$3:$E$3,0))</f>
      </c>
      <c r="I7">
        <f>F7*INDEX(Assumptions!$C:$E,MATCH("Jackpot contribution share",Assumptions!$B:$B,0),MATCH(B7,Assumptions!$C$3:$E$3,0))</f>
      </c>
      <c r="J7">
        <f>H7*INDEX(Assumptions!$C:$E,MATCH("Gas reserve share of platform fee",Assumptions!$B:$B,0),MATCH(B7,Assumptions!$C$3:$E$3,0))</f>
      </c>
      <c r="K7">
        <f>H7-J7</f>
      </c>
    </row>
    <row r="8">
      <c r="A8">
        <v>7</v>
      </c>
      <c r="B8" t="inlineStr">
        <is>
          <t>Conservative</t>
        </is>
      </c>
      <c r="C8">
        <f>SUMIFS(Funnel!$J:$J,Funnel!$A:$A,A8,Funnel!$B:$B,B8)</f>
      </c>
      <c r="D8">
        <f>C8*INDEX(Assumptions!$C:$E,MATCH("Tickets per active user per month",Assumptions!$B:$B,0),MATCH(B8,Assumptions!$C$3:$E$3,0))</f>
      </c>
      <c r="E8">
        <f>INDEX(Assumptions!$C:$E,MATCH("Average ticket",Assumptions!$B:$B,0),MATCH(B8,Assumptions!$C$3:$E$3,0))</f>
      </c>
      <c r="F8">
        <f>D8*E8</f>
      </c>
      <c r="G8">
        <f>F8*INDEX(Assumptions!$C:$E,MATCH("Prize pool share",Assumptions!$B:$B,0),MATCH(B8,Assumptions!$C$3:$E$3,0))</f>
      </c>
      <c r="H8">
        <f>F8*INDEX(Assumptions!$C:$E,MATCH("Platform fee share",Assumptions!$B:$B,0),MATCH(B8,Assumptions!$C$3:$E$3,0))</f>
      </c>
      <c r="I8">
        <f>F8*INDEX(Assumptions!$C:$E,MATCH("Jackpot contribution share",Assumptions!$B:$B,0),MATCH(B8,Assumptions!$C$3:$E$3,0))</f>
      </c>
      <c r="J8">
        <f>H8*INDEX(Assumptions!$C:$E,MATCH("Gas reserve share of platform fee",Assumptions!$B:$B,0),MATCH(B8,Assumptions!$C$3:$E$3,0))</f>
      </c>
      <c r="K8">
        <f>H8-J8</f>
      </c>
    </row>
    <row r="9">
      <c r="A9">
        <v>8</v>
      </c>
      <c r="B9" t="inlineStr">
        <is>
          <t>Conservative</t>
        </is>
      </c>
      <c r="C9">
        <f>SUMIFS(Funnel!$J:$J,Funnel!$A:$A,A9,Funnel!$B:$B,B9)</f>
      </c>
      <c r="D9">
        <f>C9*INDEX(Assumptions!$C:$E,MATCH("Tickets per active user per month",Assumptions!$B:$B,0),MATCH(B9,Assumptions!$C$3:$E$3,0))</f>
      </c>
      <c r="E9">
        <f>INDEX(Assumptions!$C:$E,MATCH("Average ticket",Assumptions!$B:$B,0),MATCH(B9,Assumptions!$C$3:$E$3,0))</f>
      </c>
      <c r="F9">
        <f>D9*E9</f>
      </c>
      <c r="G9">
        <f>F9*INDEX(Assumptions!$C:$E,MATCH("Prize pool share",Assumptions!$B:$B,0),MATCH(B9,Assumptions!$C$3:$E$3,0))</f>
      </c>
      <c r="H9">
        <f>F9*INDEX(Assumptions!$C:$E,MATCH("Platform fee share",Assumptions!$B:$B,0),MATCH(B9,Assumptions!$C$3:$E$3,0))</f>
      </c>
      <c r="I9">
        <f>F9*INDEX(Assumptions!$C:$E,MATCH("Jackpot contribution share",Assumptions!$B:$B,0),MATCH(B9,Assumptions!$C$3:$E$3,0))</f>
      </c>
      <c r="J9">
        <f>H9*INDEX(Assumptions!$C:$E,MATCH("Gas reserve share of platform fee",Assumptions!$B:$B,0),MATCH(B9,Assumptions!$C$3:$E$3,0))</f>
      </c>
      <c r="K9">
        <f>H9-J9</f>
      </c>
    </row>
    <row r="10">
      <c r="A10">
        <v>9</v>
      </c>
      <c r="B10" t="inlineStr">
        <is>
          <t>Conservative</t>
        </is>
      </c>
      <c r="C10">
        <f>SUMIFS(Funnel!$J:$J,Funnel!$A:$A,A10,Funnel!$B:$B,B10)</f>
      </c>
      <c r="D10">
        <f>C10*INDEX(Assumptions!$C:$E,MATCH("Tickets per active user per month",Assumptions!$B:$B,0),MATCH(B10,Assumptions!$C$3:$E$3,0))</f>
      </c>
      <c r="E10">
        <f>INDEX(Assumptions!$C:$E,MATCH("Average ticket",Assumptions!$B:$B,0),MATCH(B10,Assumptions!$C$3:$E$3,0))</f>
      </c>
      <c r="F10">
        <f>D10*E10</f>
      </c>
      <c r="G10">
        <f>F10*INDEX(Assumptions!$C:$E,MATCH("Prize pool share",Assumptions!$B:$B,0),MATCH(B10,Assumptions!$C$3:$E$3,0))</f>
      </c>
      <c r="H10">
        <f>F10*INDEX(Assumptions!$C:$E,MATCH("Platform fee share",Assumptions!$B:$B,0),MATCH(B10,Assumptions!$C$3:$E$3,0))</f>
      </c>
      <c r="I10">
        <f>F10*INDEX(Assumptions!$C:$E,MATCH("Jackpot contribution share",Assumptions!$B:$B,0),MATCH(B10,Assumptions!$C$3:$E$3,0))</f>
      </c>
      <c r="J10">
        <f>H10*INDEX(Assumptions!$C:$E,MATCH("Gas reserve share of platform fee",Assumptions!$B:$B,0),MATCH(B10,Assumptions!$C$3:$E$3,0))</f>
      </c>
      <c r="K10">
        <f>H10-J10</f>
      </c>
    </row>
    <row r="11">
      <c r="A11">
        <v>10</v>
      </c>
      <c r="B11" t="inlineStr">
        <is>
          <t>Conservative</t>
        </is>
      </c>
      <c r="C11">
        <f>SUMIFS(Funnel!$J:$J,Funnel!$A:$A,A11,Funnel!$B:$B,B11)</f>
      </c>
      <c r="D11">
        <f>C11*INDEX(Assumptions!$C:$E,MATCH("Tickets per active user per month",Assumptions!$B:$B,0),MATCH(B11,Assumptions!$C$3:$E$3,0))</f>
      </c>
      <c r="E11">
        <f>INDEX(Assumptions!$C:$E,MATCH("Average ticket",Assumptions!$B:$B,0),MATCH(B11,Assumptions!$C$3:$E$3,0))</f>
      </c>
      <c r="F11">
        <f>D11*E11</f>
      </c>
      <c r="G11">
        <f>F11*INDEX(Assumptions!$C:$E,MATCH("Prize pool share",Assumptions!$B:$B,0),MATCH(B11,Assumptions!$C$3:$E$3,0))</f>
      </c>
      <c r="H11">
        <f>F11*INDEX(Assumptions!$C:$E,MATCH("Platform fee share",Assumptions!$B:$B,0),MATCH(B11,Assumptions!$C$3:$E$3,0))</f>
      </c>
      <c r="I11">
        <f>F11*INDEX(Assumptions!$C:$E,MATCH("Jackpot contribution share",Assumptions!$B:$B,0),MATCH(B11,Assumptions!$C$3:$E$3,0))</f>
      </c>
      <c r="J11">
        <f>H11*INDEX(Assumptions!$C:$E,MATCH("Gas reserve share of platform fee",Assumptions!$B:$B,0),MATCH(B11,Assumptions!$C$3:$E$3,0))</f>
      </c>
      <c r="K11">
        <f>H11-J11</f>
      </c>
    </row>
    <row r="12">
      <c r="A12">
        <v>11</v>
      </c>
      <c r="B12" t="inlineStr">
        <is>
          <t>Conservative</t>
        </is>
      </c>
      <c r="C12">
        <f>SUMIFS(Funnel!$J:$J,Funnel!$A:$A,A12,Funnel!$B:$B,B12)</f>
      </c>
      <c r="D12">
        <f>C12*INDEX(Assumptions!$C:$E,MATCH("Tickets per active user per month",Assumptions!$B:$B,0),MATCH(B12,Assumptions!$C$3:$E$3,0))</f>
      </c>
      <c r="E12">
        <f>INDEX(Assumptions!$C:$E,MATCH("Average ticket",Assumptions!$B:$B,0),MATCH(B12,Assumptions!$C$3:$E$3,0))</f>
      </c>
      <c r="F12">
        <f>D12*E12</f>
      </c>
      <c r="G12">
        <f>F12*INDEX(Assumptions!$C:$E,MATCH("Prize pool share",Assumptions!$B:$B,0),MATCH(B12,Assumptions!$C$3:$E$3,0))</f>
      </c>
      <c r="H12">
        <f>F12*INDEX(Assumptions!$C:$E,MATCH("Platform fee share",Assumptions!$B:$B,0),MATCH(B12,Assumptions!$C$3:$E$3,0))</f>
      </c>
      <c r="I12">
        <f>F12*INDEX(Assumptions!$C:$E,MATCH("Jackpot contribution share",Assumptions!$B:$B,0),MATCH(B12,Assumptions!$C$3:$E$3,0))</f>
      </c>
      <c r="J12">
        <f>H12*INDEX(Assumptions!$C:$E,MATCH("Gas reserve share of platform fee",Assumptions!$B:$B,0),MATCH(B12,Assumptions!$C$3:$E$3,0))</f>
      </c>
      <c r="K12">
        <f>H12-J12</f>
      </c>
    </row>
    <row r="13">
      <c r="A13">
        <v>12</v>
      </c>
      <c r="B13" t="inlineStr">
        <is>
          <t>Conservative</t>
        </is>
      </c>
      <c r="C13">
        <f>SUMIFS(Funnel!$J:$J,Funnel!$A:$A,A13,Funnel!$B:$B,B13)</f>
      </c>
      <c r="D13">
        <f>C13*INDEX(Assumptions!$C:$E,MATCH("Tickets per active user per month",Assumptions!$B:$B,0),MATCH(B13,Assumptions!$C$3:$E$3,0))</f>
      </c>
      <c r="E13">
        <f>INDEX(Assumptions!$C:$E,MATCH("Average ticket",Assumptions!$B:$B,0),MATCH(B13,Assumptions!$C$3:$E$3,0))</f>
      </c>
      <c r="F13">
        <f>D13*E13</f>
      </c>
      <c r="G13">
        <f>F13*INDEX(Assumptions!$C:$E,MATCH("Prize pool share",Assumptions!$B:$B,0),MATCH(B13,Assumptions!$C$3:$E$3,0))</f>
      </c>
      <c r="H13">
        <f>F13*INDEX(Assumptions!$C:$E,MATCH("Platform fee share",Assumptions!$B:$B,0),MATCH(B13,Assumptions!$C$3:$E$3,0))</f>
      </c>
      <c r="I13">
        <f>F13*INDEX(Assumptions!$C:$E,MATCH("Jackpot contribution share",Assumptions!$B:$B,0),MATCH(B13,Assumptions!$C$3:$E$3,0))</f>
      </c>
      <c r="J13">
        <f>H13*INDEX(Assumptions!$C:$E,MATCH("Gas reserve share of platform fee",Assumptions!$B:$B,0),MATCH(B13,Assumptions!$C$3:$E$3,0))</f>
      </c>
      <c r="K13">
        <f>H13-J13</f>
      </c>
    </row>
    <row r="14">
      <c r="A14">
        <v>13</v>
      </c>
      <c r="B14" t="inlineStr">
        <is>
          <t>Conservative</t>
        </is>
      </c>
      <c r="C14">
        <f>SUMIFS(Funnel!$J:$J,Funnel!$A:$A,A14,Funnel!$B:$B,B14)</f>
      </c>
      <c r="D14">
        <f>C14*INDEX(Assumptions!$C:$E,MATCH("Tickets per active user per month",Assumptions!$B:$B,0),MATCH(B14,Assumptions!$C$3:$E$3,0))</f>
      </c>
      <c r="E14">
        <f>INDEX(Assumptions!$C:$E,MATCH("Average ticket",Assumptions!$B:$B,0),MATCH(B14,Assumptions!$C$3:$E$3,0))</f>
      </c>
      <c r="F14">
        <f>D14*E14</f>
      </c>
      <c r="G14">
        <f>F14*INDEX(Assumptions!$C:$E,MATCH("Prize pool share",Assumptions!$B:$B,0),MATCH(B14,Assumptions!$C$3:$E$3,0))</f>
      </c>
      <c r="H14">
        <f>F14*INDEX(Assumptions!$C:$E,MATCH("Platform fee share",Assumptions!$B:$B,0),MATCH(B14,Assumptions!$C$3:$E$3,0))</f>
      </c>
      <c r="I14">
        <f>F14*INDEX(Assumptions!$C:$E,MATCH("Jackpot contribution share",Assumptions!$B:$B,0),MATCH(B14,Assumptions!$C$3:$E$3,0))</f>
      </c>
      <c r="J14">
        <f>H14*INDEX(Assumptions!$C:$E,MATCH("Gas reserve share of platform fee",Assumptions!$B:$B,0),MATCH(B14,Assumptions!$C$3:$E$3,0))</f>
      </c>
      <c r="K14">
        <f>H14-J14</f>
      </c>
    </row>
    <row r="15">
      <c r="A15">
        <v>14</v>
      </c>
      <c r="B15" t="inlineStr">
        <is>
          <t>Conservative</t>
        </is>
      </c>
      <c r="C15">
        <f>SUMIFS(Funnel!$J:$J,Funnel!$A:$A,A15,Funnel!$B:$B,B15)</f>
      </c>
      <c r="D15">
        <f>C15*INDEX(Assumptions!$C:$E,MATCH("Tickets per active user per month",Assumptions!$B:$B,0),MATCH(B15,Assumptions!$C$3:$E$3,0))</f>
      </c>
      <c r="E15">
        <f>INDEX(Assumptions!$C:$E,MATCH("Average ticket",Assumptions!$B:$B,0),MATCH(B15,Assumptions!$C$3:$E$3,0))</f>
      </c>
      <c r="F15">
        <f>D15*E15</f>
      </c>
      <c r="G15">
        <f>F15*INDEX(Assumptions!$C:$E,MATCH("Prize pool share",Assumptions!$B:$B,0),MATCH(B15,Assumptions!$C$3:$E$3,0))</f>
      </c>
      <c r="H15">
        <f>F15*INDEX(Assumptions!$C:$E,MATCH("Platform fee share",Assumptions!$B:$B,0),MATCH(B15,Assumptions!$C$3:$E$3,0))</f>
      </c>
      <c r="I15">
        <f>F15*INDEX(Assumptions!$C:$E,MATCH("Jackpot contribution share",Assumptions!$B:$B,0),MATCH(B15,Assumptions!$C$3:$E$3,0))</f>
      </c>
      <c r="J15">
        <f>H15*INDEX(Assumptions!$C:$E,MATCH("Gas reserve share of platform fee",Assumptions!$B:$B,0),MATCH(B15,Assumptions!$C$3:$E$3,0))</f>
      </c>
      <c r="K15">
        <f>H15-J15</f>
      </c>
    </row>
    <row r="16">
      <c r="A16">
        <v>15</v>
      </c>
      <c r="B16" t="inlineStr">
        <is>
          <t>Conservative</t>
        </is>
      </c>
      <c r="C16">
        <f>SUMIFS(Funnel!$J:$J,Funnel!$A:$A,A16,Funnel!$B:$B,B16)</f>
      </c>
      <c r="D16">
        <f>C16*INDEX(Assumptions!$C:$E,MATCH("Tickets per active user per month",Assumptions!$B:$B,0),MATCH(B16,Assumptions!$C$3:$E$3,0))</f>
      </c>
      <c r="E16">
        <f>INDEX(Assumptions!$C:$E,MATCH("Average ticket",Assumptions!$B:$B,0),MATCH(B16,Assumptions!$C$3:$E$3,0))</f>
      </c>
      <c r="F16">
        <f>D16*E16</f>
      </c>
      <c r="G16">
        <f>F16*INDEX(Assumptions!$C:$E,MATCH("Prize pool share",Assumptions!$B:$B,0),MATCH(B16,Assumptions!$C$3:$E$3,0))</f>
      </c>
      <c r="H16">
        <f>F16*INDEX(Assumptions!$C:$E,MATCH("Platform fee share",Assumptions!$B:$B,0),MATCH(B16,Assumptions!$C$3:$E$3,0))</f>
      </c>
      <c r="I16">
        <f>F16*INDEX(Assumptions!$C:$E,MATCH("Jackpot contribution share",Assumptions!$B:$B,0),MATCH(B16,Assumptions!$C$3:$E$3,0))</f>
      </c>
      <c r="J16">
        <f>H16*INDEX(Assumptions!$C:$E,MATCH("Gas reserve share of platform fee",Assumptions!$B:$B,0),MATCH(B16,Assumptions!$C$3:$E$3,0))</f>
      </c>
      <c r="K16">
        <f>H16-J16</f>
      </c>
    </row>
    <row r="17">
      <c r="A17">
        <v>16</v>
      </c>
      <c r="B17" t="inlineStr">
        <is>
          <t>Conservative</t>
        </is>
      </c>
      <c r="C17">
        <f>SUMIFS(Funnel!$J:$J,Funnel!$A:$A,A17,Funnel!$B:$B,B17)</f>
      </c>
      <c r="D17">
        <f>C17*INDEX(Assumptions!$C:$E,MATCH("Tickets per active user per month",Assumptions!$B:$B,0),MATCH(B17,Assumptions!$C$3:$E$3,0))</f>
      </c>
      <c r="E17">
        <f>INDEX(Assumptions!$C:$E,MATCH("Average ticket",Assumptions!$B:$B,0),MATCH(B17,Assumptions!$C$3:$E$3,0))</f>
      </c>
      <c r="F17">
        <f>D17*E17</f>
      </c>
      <c r="G17">
        <f>F17*INDEX(Assumptions!$C:$E,MATCH("Prize pool share",Assumptions!$B:$B,0),MATCH(B17,Assumptions!$C$3:$E$3,0))</f>
      </c>
      <c r="H17">
        <f>F17*INDEX(Assumptions!$C:$E,MATCH("Platform fee share",Assumptions!$B:$B,0),MATCH(B17,Assumptions!$C$3:$E$3,0))</f>
      </c>
      <c r="I17">
        <f>F17*INDEX(Assumptions!$C:$E,MATCH("Jackpot contribution share",Assumptions!$B:$B,0),MATCH(B17,Assumptions!$C$3:$E$3,0))</f>
      </c>
      <c r="J17">
        <f>H17*INDEX(Assumptions!$C:$E,MATCH("Gas reserve share of platform fee",Assumptions!$B:$B,0),MATCH(B17,Assumptions!$C$3:$E$3,0))</f>
      </c>
      <c r="K17">
        <f>H17-J17</f>
      </c>
    </row>
    <row r="18">
      <c r="A18">
        <v>17</v>
      </c>
      <c r="B18" t="inlineStr">
        <is>
          <t>Conservative</t>
        </is>
      </c>
      <c r="C18">
        <f>SUMIFS(Funnel!$J:$J,Funnel!$A:$A,A18,Funnel!$B:$B,B18)</f>
      </c>
      <c r="D18">
        <f>C18*INDEX(Assumptions!$C:$E,MATCH("Tickets per active user per month",Assumptions!$B:$B,0),MATCH(B18,Assumptions!$C$3:$E$3,0))</f>
      </c>
      <c r="E18">
        <f>INDEX(Assumptions!$C:$E,MATCH("Average ticket",Assumptions!$B:$B,0),MATCH(B18,Assumptions!$C$3:$E$3,0))</f>
      </c>
      <c r="F18">
        <f>D18*E18</f>
      </c>
      <c r="G18">
        <f>F18*INDEX(Assumptions!$C:$E,MATCH("Prize pool share",Assumptions!$B:$B,0),MATCH(B18,Assumptions!$C$3:$E$3,0))</f>
      </c>
      <c r="H18">
        <f>F18*INDEX(Assumptions!$C:$E,MATCH("Platform fee share",Assumptions!$B:$B,0),MATCH(B18,Assumptions!$C$3:$E$3,0))</f>
      </c>
      <c r="I18">
        <f>F18*INDEX(Assumptions!$C:$E,MATCH("Jackpot contribution share",Assumptions!$B:$B,0),MATCH(B18,Assumptions!$C$3:$E$3,0))</f>
      </c>
      <c r="J18">
        <f>H18*INDEX(Assumptions!$C:$E,MATCH("Gas reserve share of platform fee",Assumptions!$B:$B,0),MATCH(B18,Assumptions!$C$3:$E$3,0))</f>
      </c>
      <c r="K18">
        <f>H18-J18</f>
      </c>
    </row>
    <row r="19">
      <c r="A19">
        <v>18</v>
      </c>
      <c r="B19" t="inlineStr">
        <is>
          <t>Conservative</t>
        </is>
      </c>
      <c r="C19">
        <f>SUMIFS(Funnel!$J:$J,Funnel!$A:$A,A19,Funnel!$B:$B,B19)</f>
      </c>
      <c r="D19">
        <f>C19*INDEX(Assumptions!$C:$E,MATCH("Tickets per active user per month",Assumptions!$B:$B,0),MATCH(B19,Assumptions!$C$3:$E$3,0))</f>
      </c>
      <c r="E19">
        <f>INDEX(Assumptions!$C:$E,MATCH("Average ticket",Assumptions!$B:$B,0),MATCH(B19,Assumptions!$C$3:$E$3,0))</f>
      </c>
      <c r="F19">
        <f>D19*E19</f>
      </c>
      <c r="G19">
        <f>F19*INDEX(Assumptions!$C:$E,MATCH("Prize pool share",Assumptions!$B:$B,0),MATCH(B19,Assumptions!$C$3:$E$3,0))</f>
      </c>
      <c r="H19">
        <f>F19*INDEX(Assumptions!$C:$E,MATCH("Platform fee share",Assumptions!$B:$B,0),MATCH(B19,Assumptions!$C$3:$E$3,0))</f>
      </c>
      <c r="I19">
        <f>F19*INDEX(Assumptions!$C:$E,MATCH("Jackpot contribution share",Assumptions!$B:$B,0),MATCH(B19,Assumptions!$C$3:$E$3,0))</f>
      </c>
      <c r="J19">
        <f>H19*INDEX(Assumptions!$C:$E,MATCH("Gas reserve share of platform fee",Assumptions!$B:$B,0),MATCH(B19,Assumptions!$C$3:$E$3,0))</f>
      </c>
      <c r="K19">
        <f>H19-J19</f>
      </c>
    </row>
    <row r="20">
      <c r="A20">
        <v>19</v>
      </c>
      <c r="B20" t="inlineStr">
        <is>
          <t>Conservative</t>
        </is>
      </c>
      <c r="C20">
        <f>SUMIFS(Funnel!$J:$J,Funnel!$A:$A,A20,Funnel!$B:$B,B20)</f>
      </c>
      <c r="D20">
        <f>C20*INDEX(Assumptions!$C:$E,MATCH("Tickets per active user per month",Assumptions!$B:$B,0),MATCH(B20,Assumptions!$C$3:$E$3,0))</f>
      </c>
      <c r="E20">
        <f>INDEX(Assumptions!$C:$E,MATCH("Average ticket",Assumptions!$B:$B,0),MATCH(B20,Assumptions!$C$3:$E$3,0))</f>
      </c>
      <c r="F20">
        <f>D20*E20</f>
      </c>
      <c r="G20">
        <f>F20*INDEX(Assumptions!$C:$E,MATCH("Prize pool share",Assumptions!$B:$B,0),MATCH(B20,Assumptions!$C$3:$E$3,0))</f>
      </c>
      <c r="H20">
        <f>F20*INDEX(Assumptions!$C:$E,MATCH("Platform fee share",Assumptions!$B:$B,0),MATCH(B20,Assumptions!$C$3:$E$3,0))</f>
      </c>
      <c r="I20">
        <f>F20*INDEX(Assumptions!$C:$E,MATCH("Jackpot contribution share",Assumptions!$B:$B,0),MATCH(B20,Assumptions!$C$3:$E$3,0))</f>
      </c>
      <c r="J20">
        <f>H20*INDEX(Assumptions!$C:$E,MATCH("Gas reserve share of platform fee",Assumptions!$B:$B,0),MATCH(B20,Assumptions!$C$3:$E$3,0))</f>
      </c>
      <c r="K20">
        <f>H20-J20</f>
      </c>
    </row>
    <row r="21">
      <c r="A21">
        <v>20</v>
      </c>
      <c r="B21" t="inlineStr">
        <is>
          <t>Conservative</t>
        </is>
      </c>
      <c r="C21">
        <f>SUMIFS(Funnel!$J:$J,Funnel!$A:$A,A21,Funnel!$B:$B,B21)</f>
      </c>
      <c r="D21">
        <f>C21*INDEX(Assumptions!$C:$E,MATCH("Tickets per active user per month",Assumptions!$B:$B,0),MATCH(B21,Assumptions!$C$3:$E$3,0))</f>
      </c>
      <c r="E21">
        <f>INDEX(Assumptions!$C:$E,MATCH("Average ticket",Assumptions!$B:$B,0),MATCH(B21,Assumptions!$C$3:$E$3,0))</f>
      </c>
      <c r="F21">
        <f>D21*E21</f>
      </c>
      <c r="G21">
        <f>F21*INDEX(Assumptions!$C:$E,MATCH("Prize pool share",Assumptions!$B:$B,0),MATCH(B21,Assumptions!$C$3:$E$3,0))</f>
      </c>
      <c r="H21">
        <f>F21*INDEX(Assumptions!$C:$E,MATCH("Platform fee share",Assumptions!$B:$B,0),MATCH(B21,Assumptions!$C$3:$E$3,0))</f>
      </c>
      <c r="I21">
        <f>F21*INDEX(Assumptions!$C:$E,MATCH("Jackpot contribution share",Assumptions!$B:$B,0),MATCH(B21,Assumptions!$C$3:$E$3,0))</f>
      </c>
      <c r="J21">
        <f>H21*INDEX(Assumptions!$C:$E,MATCH("Gas reserve share of platform fee",Assumptions!$B:$B,0),MATCH(B21,Assumptions!$C$3:$E$3,0))</f>
      </c>
      <c r="K21">
        <f>H21-J21</f>
      </c>
    </row>
    <row r="22">
      <c r="A22">
        <v>21</v>
      </c>
      <c r="B22" t="inlineStr">
        <is>
          <t>Conservative</t>
        </is>
      </c>
      <c r="C22">
        <f>SUMIFS(Funnel!$J:$J,Funnel!$A:$A,A22,Funnel!$B:$B,B22)</f>
      </c>
      <c r="D22">
        <f>C22*INDEX(Assumptions!$C:$E,MATCH("Tickets per active user per month",Assumptions!$B:$B,0),MATCH(B22,Assumptions!$C$3:$E$3,0))</f>
      </c>
      <c r="E22">
        <f>INDEX(Assumptions!$C:$E,MATCH("Average ticket",Assumptions!$B:$B,0),MATCH(B22,Assumptions!$C$3:$E$3,0))</f>
      </c>
      <c r="F22">
        <f>D22*E22</f>
      </c>
      <c r="G22">
        <f>F22*INDEX(Assumptions!$C:$E,MATCH("Prize pool share",Assumptions!$B:$B,0),MATCH(B22,Assumptions!$C$3:$E$3,0))</f>
      </c>
      <c r="H22">
        <f>F22*INDEX(Assumptions!$C:$E,MATCH("Platform fee share",Assumptions!$B:$B,0),MATCH(B22,Assumptions!$C$3:$E$3,0))</f>
      </c>
      <c r="I22">
        <f>F22*INDEX(Assumptions!$C:$E,MATCH("Jackpot contribution share",Assumptions!$B:$B,0),MATCH(B22,Assumptions!$C$3:$E$3,0))</f>
      </c>
      <c r="J22">
        <f>H22*INDEX(Assumptions!$C:$E,MATCH("Gas reserve share of platform fee",Assumptions!$B:$B,0),MATCH(B22,Assumptions!$C$3:$E$3,0))</f>
      </c>
      <c r="K22">
        <f>H22-J22</f>
      </c>
    </row>
    <row r="23">
      <c r="A23">
        <v>22</v>
      </c>
      <c r="B23" t="inlineStr">
        <is>
          <t>Conservative</t>
        </is>
      </c>
      <c r="C23">
        <f>SUMIFS(Funnel!$J:$J,Funnel!$A:$A,A23,Funnel!$B:$B,B23)</f>
      </c>
      <c r="D23">
        <f>C23*INDEX(Assumptions!$C:$E,MATCH("Tickets per active user per month",Assumptions!$B:$B,0),MATCH(B23,Assumptions!$C$3:$E$3,0))</f>
      </c>
      <c r="E23">
        <f>INDEX(Assumptions!$C:$E,MATCH("Average ticket",Assumptions!$B:$B,0),MATCH(B23,Assumptions!$C$3:$E$3,0))</f>
      </c>
      <c r="F23">
        <f>D23*E23</f>
      </c>
      <c r="G23">
        <f>F23*INDEX(Assumptions!$C:$E,MATCH("Prize pool share",Assumptions!$B:$B,0),MATCH(B23,Assumptions!$C$3:$E$3,0))</f>
      </c>
      <c r="H23">
        <f>F23*INDEX(Assumptions!$C:$E,MATCH("Platform fee share",Assumptions!$B:$B,0),MATCH(B23,Assumptions!$C$3:$E$3,0))</f>
      </c>
      <c r="I23">
        <f>F23*INDEX(Assumptions!$C:$E,MATCH("Jackpot contribution share",Assumptions!$B:$B,0),MATCH(B23,Assumptions!$C$3:$E$3,0))</f>
      </c>
      <c r="J23">
        <f>H23*INDEX(Assumptions!$C:$E,MATCH("Gas reserve share of platform fee",Assumptions!$B:$B,0),MATCH(B23,Assumptions!$C$3:$E$3,0))</f>
      </c>
      <c r="K23">
        <f>H23-J23</f>
      </c>
    </row>
    <row r="24">
      <c r="A24">
        <v>23</v>
      </c>
      <c r="B24" t="inlineStr">
        <is>
          <t>Conservative</t>
        </is>
      </c>
      <c r="C24">
        <f>SUMIFS(Funnel!$J:$J,Funnel!$A:$A,A24,Funnel!$B:$B,B24)</f>
      </c>
      <c r="D24">
        <f>C24*INDEX(Assumptions!$C:$E,MATCH("Tickets per active user per month",Assumptions!$B:$B,0),MATCH(B24,Assumptions!$C$3:$E$3,0))</f>
      </c>
      <c r="E24">
        <f>INDEX(Assumptions!$C:$E,MATCH("Average ticket",Assumptions!$B:$B,0),MATCH(B24,Assumptions!$C$3:$E$3,0))</f>
      </c>
      <c r="F24">
        <f>D24*E24</f>
      </c>
      <c r="G24">
        <f>F24*INDEX(Assumptions!$C:$E,MATCH("Prize pool share",Assumptions!$B:$B,0),MATCH(B24,Assumptions!$C$3:$E$3,0))</f>
      </c>
      <c r="H24">
        <f>F24*INDEX(Assumptions!$C:$E,MATCH("Platform fee share",Assumptions!$B:$B,0),MATCH(B24,Assumptions!$C$3:$E$3,0))</f>
      </c>
      <c r="I24">
        <f>F24*INDEX(Assumptions!$C:$E,MATCH("Jackpot contribution share",Assumptions!$B:$B,0),MATCH(B24,Assumptions!$C$3:$E$3,0))</f>
      </c>
      <c r="J24">
        <f>H24*INDEX(Assumptions!$C:$E,MATCH("Gas reserve share of platform fee",Assumptions!$B:$B,0),MATCH(B24,Assumptions!$C$3:$E$3,0))</f>
      </c>
      <c r="K24">
        <f>H24-J24</f>
      </c>
    </row>
    <row r="25">
      <c r="A25">
        <v>24</v>
      </c>
      <c r="B25" t="inlineStr">
        <is>
          <t>Conservative</t>
        </is>
      </c>
      <c r="C25">
        <f>SUMIFS(Funnel!$J:$J,Funnel!$A:$A,A25,Funnel!$B:$B,B25)</f>
      </c>
      <c r="D25">
        <f>C25*INDEX(Assumptions!$C:$E,MATCH("Tickets per active user per month",Assumptions!$B:$B,0),MATCH(B25,Assumptions!$C$3:$E$3,0))</f>
      </c>
      <c r="E25">
        <f>INDEX(Assumptions!$C:$E,MATCH("Average ticket",Assumptions!$B:$B,0),MATCH(B25,Assumptions!$C$3:$E$3,0))</f>
      </c>
      <c r="F25">
        <f>D25*E25</f>
      </c>
      <c r="G25">
        <f>F25*INDEX(Assumptions!$C:$E,MATCH("Prize pool share",Assumptions!$B:$B,0),MATCH(B25,Assumptions!$C$3:$E$3,0))</f>
      </c>
      <c r="H25">
        <f>F25*INDEX(Assumptions!$C:$E,MATCH("Platform fee share",Assumptions!$B:$B,0),MATCH(B25,Assumptions!$C$3:$E$3,0))</f>
      </c>
      <c r="I25">
        <f>F25*INDEX(Assumptions!$C:$E,MATCH("Jackpot contribution share",Assumptions!$B:$B,0),MATCH(B25,Assumptions!$C$3:$E$3,0))</f>
      </c>
      <c r="J25">
        <f>H25*INDEX(Assumptions!$C:$E,MATCH("Gas reserve share of platform fee",Assumptions!$B:$B,0),MATCH(B25,Assumptions!$C$3:$E$3,0))</f>
      </c>
      <c r="K25">
        <f>H25-J25</f>
      </c>
    </row>
    <row r="26">
      <c r="A26">
        <v>25</v>
      </c>
      <c r="B26" t="inlineStr">
        <is>
          <t>Conservative</t>
        </is>
      </c>
      <c r="C26">
        <f>SUMIFS(Funnel!$J:$J,Funnel!$A:$A,A26,Funnel!$B:$B,B26)</f>
      </c>
      <c r="D26">
        <f>C26*INDEX(Assumptions!$C:$E,MATCH("Tickets per active user per month",Assumptions!$B:$B,0),MATCH(B26,Assumptions!$C$3:$E$3,0))</f>
      </c>
      <c r="E26">
        <f>INDEX(Assumptions!$C:$E,MATCH("Average ticket",Assumptions!$B:$B,0),MATCH(B26,Assumptions!$C$3:$E$3,0))</f>
      </c>
      <c r="F26">
        <f>D26*E26</f>
      </c>
      <c r="G26">
        <f>F26*INDEX(Assumptions!$C:$E,MATCH("Prize pool share",Assumptions!$B:$B,0),MATCH(B26,Assumptions!$C$3:$E$3,0))</f>
      </c>
      <c r="H26">
        <f>F26*INDEX(Assumptions!$C:$E,MATCH("Platform fee share",Assumptions!$B:$B,0),MATCH(B26,Assumptions!$C$3:$E$3,0))</f>
      </c>
      <c r="I26">
        <f>F26*INDEX(Assumptions!$C:$E,MATCH("Jackpot contribution share",Assumptions!$B:$B,0),MATCH(B26,Assumptions!$C$3:$E$3,0))</f>
      </c>
      <c r="J26">
        <f>H26*INDEX(Assumptions!$C:$E,MATCH("Gas reserve share of platform fee",Assumptions!$B:$B,0),MATCH(B26,Assumptions!$C$3:$E$3,0))</f>
      </c>
      <c r="K26">
        <f>H26-J26</f>
      </c>
    </row>
    <row r="27">
      <c r="A27">
        <v>26</v>
      </c>
      <c r="B27" t="inlineStr">
        <is>
          <t>Conservative</t>
        </is>
      </c>
      <c r="C27">
        <f>SUMIFS(Funnel!$J:$J,Funnel!$A:$A,A27,Funnel!$B:$B,B27)</f>
      </c>
      <c r="D27">
        <f>C27*INDEX(Assumptions!$C:$E,MATCH("Tickets per active user per month",Assumptions!$B:$B,0),MATCH(B27,Assumptions!$C$3:$E$3,0))</f>
      </c>
      <c r="E27">
        <f>INDEX(Assumptions!$C:$E,MATCH("Average ticket",Assumptions!$B:$B,0),MATCH(B27,Assumptions!$C$3:$E$3,0))</f>
      </c>
      <c r="F27">
        <f>D27*E27</f>
      </c>
      <c r="G27">
        <f>F27*INDEX(Assumptions!$C:$E,MATCH("Prize pool share",Assumptions!$B:$B,0),MATCH(B27,Assumptions!$C$3:$E$3,0))</f>
      </c>
      <c r="H27">
        <f>F27*INDEX(Assumptions!$C:$E,MATCH("Platform fee share",Assumptions!$B:$B,0),MATCH(B27,Assumptions!$C$3:$E$3,0))</f>
      </c>
      <c r="I27">
        <f>F27*INDEX(Assumptions!$C:$E,MATCH("Jackpot contribution share",Assumptions!$B:$B,0),MATCH(B27,Assumptions!$C$3:$E$3,0))</f>
      </c>
      <c r="J27">
        <f>H27*INDEX(Assumptions!$C:$E,MATCH("Gas reserve share of platform fee",Assumptions!$B:$B,0),MATCH(B27,Assumptions!$C$3:$E$3,0))</f>
      </c>
      <c r="K27">
        <f>H27-J27</f>
      </c>
    </row>
    <row r="28">
      <c r="A28">
        <v>27</v>
      </c>
      <c r="B28" t="inlineStr">
        <is>
          <t>Conservative</t>
        </is>
      </c>
      <c r="C28">
        <f>SUMIFS(Funnel!$J:$J,Funnel!$A:$A,A28,Funnel!$B:$B,B28)</f>
      </c>
      <c r="D28">
        <f>C28*INDEX(Assumptions!$C:$E,MATCH("Tickets per active user per month",Assumptions!$B:$B,0),MATCH(B28,Assumptions!$C$3:$E$3,0))</f>
      </c>
      <c r="E28">
        <f>INDEX(Assumptions!$C:$E,MATCH("Average ticket",Assumptions!$B:$B,0),MATCH(B28,Assumptions!$C$3:$E$3,0))</f>
      </c>
      <c r="F28">
        <f>D28*E28</f>
      </c>
      <c r="G28">
        <f>F28*INDEX(Assumptions!$C:$E,MATCH("Prize pool share",Assumptions!$B:$B,0),MATCH(B28,Assumptions!$C$3:$E$3,0))</f>
      </c>
      <c r="H28">
        <f>F28*INDEX(Assumptions!$C:$E,MATCH("Platform fee share",Assumptions!$B:$B,0),MATCH(B28,Assumptions!$C$3:$E$3,0))</f>
      </c>
      <c r="I28">
        <f>F28*INDEX(Assumptions!$C:$E,MATCH("Jackpot contribution share",Assumptions!$B:$B,0),MATCH(B28,Assumptions!$C$3:$E$3,0))</f>
      </c>
      <c r="J28">
        <f>H28*INDEX(Assumptions!$C:$E,MATCH("Gas reserve share of platform fee",Assumptions!$B:$B,0),MATCH(B28,Assumptions!$C$3:$E$3,0))</f>
      </c>
      <c r="K28">
        <f>H28-J28</f>
      </c>
    </row>
    <row r="29">
      <c r="A29">
        <v>28</v>
      </c>
      <c r="B29" t="inlineStr">
        <is>
          <t>Conservative</t>
        </is>
      </c>
      <c r="C29">
        <f>SUMIFS(Funnel!$J:$J,Funnel!$A:$A,A29,Funnel!$B:$B,B29)</f>
      </c>
      <c r="D29">
        <f>C29*INDEX(Assumptions!$C:$E,MATCH("Tickets per active user per month",Assumptions!$B:$B,0),MATCH(B29,Assumptions!$C$3:$E$3,0))</f>
      </c>
      <c r="E29">
        <f>INDEX(Assumptions!$C:$E,MATCH("Average ticket",Assumptions!$B:$B,0),MATCH(B29,Assumptions!$C$3:$E$3,0))</f>
      </c>
      <c r="F29">
        <f>D29*E29</f>
      </c>
      <c r="G29">
        <f>F29*INDEX(Assumptions!$C:$E,MATCH("Prize pool share",Assumptions!$B:$B,0),MATCH(B29,Assumptions!$C$3:$E$3,0))</f>
      </c>
      <c r="H29">
        <f>F29*INDEX(Assumptions!$C:$E,MATCH("Platform fee share",Assumptions!$B:$B,0),MATCH(B29,Assumptions!$C$3:$E$3,0))</f>
      </c>
      <c r="I29">
        <f>F29*INDEX(Assumptions!$C:$E,MATCH("Jackpot contribution share",Assumptions!$B:$B,0),MATCH(B29,Assumptions!$C$3:$E$3,0))</f>
      </c>
      <c r="J29">
        <f>H29*INDEX(Assumptions!$C:$E,MATCH("Gas reserve share of platform fee",Assumptions!$B:$B,0),MATCH(B29,Assumptions!$C$3:$E$3,0))</f>
      </c>
      <c r="K29">
        <f>H29-J29</f>
      </c>
    </row>
    <row r="30">
      <c r="A30">
        <v>29</v>
      </c>
      <c r="B30" t="inlineStr">
        <is>
          <t>Conservative</t>
        </is>
      </c>
      <c r="C30">
        <f>SUMIFS(Funnel!$J:$J,Funnel!$A:$A,A30,Funnel!$B:$B,B30)</f>
      </c>
      <c r="D30">
        <f>C30*INDEX(Assumptions!$C:$E,MATCH("Tickets per active user per month",Assumptions!$B:$B,0),MATCH(B30,Assumptions!$C$3:$E$3,0))</f>
      </c>
      <c r="E30">
        <f>INDEX(Assumptions!$C:$E,MATCH("Average ticket",Assumptions!$B:$B,0),MATCH(B30,Assumptions!$C$3:$E$3,0))</f>
      </c>
      <c r="F30">
        <f>D30*E30</f>
      </c>
      <c r="G30">
        <f>F30*INDEX(Assumptions!$C:$E,MATCH("Prize pool share",Assumptions!$B:$B,0),MATCH(B30,Assumptions!$C$3:$E$3,0))</f>
      </c>
      <c r="H30">
        <f>F30*INDEX(Assumptions!$C:$E,MATCH("Platform fee share",Assumptions!$B:$B,0),MATCH(B30,Assumptions!$C$3:$E$3,0))</f>
      </c>
      <c r="I30">
        <f>F30*INDEX(Assumptions!$C:$E,MATCH("Jackpot contribution share",Assumptions!$B:$B,0),MATCH(B30,Assumptions!$C$3:$E$3,0))</f>
      </c>
      <c r="J30">
        <f>H30*INDEX(Assumptions!$C:$E,MATCH("Gas reserve share of platform fee",Assumptions!$B:$B,0),MATCH(B30,Assumptions!$C$3:$E$3,0))</f>
      </c>
      <c r="K30">
        <f>H30-J30</f>
      </c>
    </row>
    <row r="31">
      <c r="A31">
        <v>30</v>
      </c>
      <c r="B31" t="inlineStr">
        <is>
          <t>Conservative</t>
        </is>
      </c>
      <c r="C31">
        <f>SUMIFS(Funnel!$J:$J,Funnel!$A:$A,A31,Funnel!$B:$B,B31)</f>
      </c>
      <c r="D31">
        <f>C31*INDEX(Assumptions!$C:$E,MATCH("Tickets per active user per month",Assumptions!$B:$B,0),MATCH(B31,Assumptions!$C$3:$E$3,0))</f>
      </c>
      <c r="E31">
        <f>INDEX(Assumptions!$C:$E,MATCH("Average ticket",Assumptions!$B:$B,0),MATCH(B31,Assumptions!$C$3:$E$3,0))</f>
      </c>
      <c r="F31">
        <f>D31*E31</f>
      </c>
      <c r="G31">
        <f>F31*INDEX(Assumptions!$C:$E,MATCH("Prize pool share",Assumptions!$B:$B,0),MATCH(B31,Assumptions!$C$3:$E$3,0))</f>
      </c>
      <c r="H31">
        <f>F31*INDEX(Assumptions!$C:$E,MATCH("Platform fee share",Assumptions!$B:$B,0),MATCH(B31,Assumptions!$C$3:$E$3,0))</f>
      </c>
      <c r="I31">
        <f>F31*INDEX(Assumptions!$C:$E,MATCH("Jackpot contribution share",Assumptions!$B:$B,0),MATCH(B31,Assumptions!$C$3:$E$3,0))</f>
      </c>
      <c r="J31">
        <f>H31*INDEX(Assumptions!$C:$E,MATCH("Gas reserve share of platform fee",Assumptions!$B:$B,0),MATCH(B31,Assumptions!$C$3:$E$3,0))</f>
      </c>
      <c r="K31">
        <f>H31-J31</f>
      </c>
    </row>
    <row r="32">
      <c r="A32">
        <v>31</v>
      </c>
      <c r="B32" t="inlineStr">
        <is>
          <t>Conservative</t>
        </is>
      </c>
      <c r="C32">
        <f>SUMIFS(Funnel!$J:$J,Funnel!$A:$A,A32,Funnel!$B:$B,B32)</f>
      </c>
      <c r="D32">
        <f>C32*INDEX(Assumptions!$C:$E,MATCH("Tickets per active user per month",Assumptions!$B:$B,0),MATCH(B32,Assumptions!$C$3:$E$3,0))</f>
      </c>
      <c r="E32">
        <f>INDEX(Assumptions!$C:$E,MATCH("Average ticket",Assumptions!$B:$B,0),MATCH(B32,Assumptions!$C$3:$E$3,0))</f>
      </c>
      <c r="F32">
        <f>D32*E32</f>
      </c>
      <c r="G32">
        <f>F32*INDEX(Assumptions!$C:$E,MATCH("Prize pool share",Assumptions!$B:$B,0),MATCH(B32,Assumptions!$C$3:$E$3,0))</f>
      </c>
      <c r="H32">
        <f>F32*INDEX(Assumptions!$C:$E,MATCH("Platform fee share",Assumptions!$B:$B,0),MATCH(B32,Assumptions!$C$3:$E$3,0))</f>
      </c>
      <c r="I32">
        <f>F32*INDEX(Assumptions!$C:$E,MATCH("Jackpot contribution share",Assumptions!$B:$B,0),MATCH(B32,Assumptions!$C$3:$E$3,0))</f>
      </c>
      <c r="J32">
        <f>H32*INDEX(Assumptions!$C:$E,MATCH("Gas reserve share of platform fee",Assumptions!$B:$B,0),MATCH(B32,Assumptions!$C$3:$E$3,0))</f>
      </c>
      <c r="K32">
        <f>H32-J32</f>
      </c>
    </row>
    <row r="33">
      <c r="A33">
        <v>32</v>
      </c>
      <c r="B33" t="inlineStr">
        <is>
          <t>Conservative</t>
        </is>
      </c>
      <c r="C33">
        <f>SUMIFS(Funnel!$J:$J,Funnel!$A:$A,A33,Funnel!$B:$B,B33)</f>
      </c>
      <c r="D33">
        <f>C33*INDEX(Assumptions!$C:$E,MATCH("Tickets per active user per month",Assumptions!$B:$B,0),MATCH(B33,Assumptions!$C$3:$E$3,0))</f>
      </c>
      <c r="E33">
        <f>INDEX(Assumptions!$C:$E,MATCH("Average ticket",Assumptions!$B:$B,0),MATCH(B33,Assumptions!$C$3:$E$3,0))</f>
      </c>
      <c r="F33">
        <f>D33*E33</f>
      </c>
      <c r="G33">
        <f>F33*INDEX(Assumptions!$C:$E,MATCH("Prize pool share",Assumptions!$B:$B,0),MATCH(B33,Assumptions!$C$3:$E$3,0))</f>
      </c>
      <c r="H33">
        <f>F33*INDEX(Assumptions!$C:$E,MATCH("Platform fee share",Assumptions!$B:$B,0),MATCH(B33,Assumptions!$C$3:$E$3,0))</f>
      </c>
      <c r="I33">
        <f>F33*INDEX(Assumptions!$C:$E,MATCH("Jackpot contribution share",Assumptions!$B:$B,0),MATCH(B33,Assumptions!$C$3:$E$3,0))</f>
      </c>
      <c r="J33">
        <f>H33*INDEX(Assumptions!$C:$E,MATCH("Gas reserve share of platform fee",Assumptions!$B:$B,0),MATCH(B33,Assumptions!$C$3:$E$3,0))</f>
      </c>
      <c r="K33">
        <f>H33-J33</f>
      </c>
    </row>
    <row r="34">
      <c r="A34">
        <v>33</v>
      </c>
      <c r="B34" t="inlineStr">
        <is>
          <t>Conservative</t>
        </is>
      </c>
      <c r="C34">
        <f>SUMIFS(Funnel!$J:$J,Funnel!$A:$A,A34,Funnel!$B:$B,B34)</f>
      </c>
      <c r="D34">
        <f>C34*INDEX(Assumptions!$C:$E,MATCH("Tickets per active user per month",Assumptions!$B:$B,0),MATCH(B34,Assumptions!$C$3:$E$3,0))</f>
      </c>
      <c r="E34">
        <f>INDEX(Assumptions!$C:$E,MATCH("Average ticket",Assumptions!$B:$B,0),MATCH(B34,Assumptions!$C$3:$E$3,0))</f>
      </c>
      <c r="F34">
        <f>D34*E34</f>
      </c>
      <c r="G34">
        <f>F34*INDEX(Assumptions!$C:$E,MATCH("Prize pool share",Assumptions!$B:$B,0),MATCH(B34,Assumptions!$C$3:$E$3,0))</f>
      </c>
      <c r="H34">
        <f>F34*INDEX(Assumptions!$C:$E,MATCH("Platform fee share",Assumptions!$B:$B,0),MATCH(B34,Assumptions!$C$3:$E$3,0))</f>
      </c>
      <c r="I34">
        <f>F34*INDEX(Assumptions!$C:$E,MATCH("Jackpot contribution share",Assumptions!$B:$B,0),MATCH(B34,Assumptions!$C$3:$E$3,0))</f>
      </c>
      <c r="J34">
        <f>H34*INDEX(Assumptions!$C:$E,MATCH("Gas reserve share of platform fee",Assumptions!$B:$B,0),MATCH(B34,Assumptions!$C$3:$E$3,0))</f>
      </c>
      <c r="K34">
        <f>H34-J34</f>
      </c>
    </row>
    <row r="35">
      <c r="A35">
        <v>34</v>
      </c>
      <c r="B35" t="inlineStr">
        <is>
          <t>Conservative</t>
        </is>
      </c>
      <c r="C35">
        <f>SUMIFS(Funnel!$J:$J,Funnel!$A:$A,A35,Funnel!$B:$B,B35)</f>
      </c>
      <c r="D35">
        <f>C35*INDEX(Assumptions!$C:$E,MATCH("Tickets per active user per month",Assumptions!$B:$B,0),MATCH(B35,Assumptions!$C$3:$E$3,0))</f>
      </c>
      <c r="E35">
        <f>INDEX(Assumptions!$C:$E,MATCH("Average ticket",Assumptions!$B:$B,0),MATCH(B35,Assumptions!$C$3:$E$3,0))</f>
      </c>
      <c r="F35">
        <f>D35*E35</f>
      </c>
      <c r="G35">
        <f>F35*INDEX(Assumptions!$C:$E,MATCH("Prize pool share",Assumptions!$B:$B,0),MATCH(B35,Assumptions!$C$3:$E$3,0))</f>
      </c>
      <c r="H35">
        <f>F35*INDEX(Assumptions!$C:$E,MATCH("Platform fee share",Assumptions!$B:$B,0),MATCH(B35,Assumptions!$C$3:$E$3,0))</f>
      </c>
      <c r="I35">
        <f>F35*INDEX(Assumptions!$C:$E,MATCH("Jackpot contribution share",Assumptions!$B:$B,0),MATCH(B35,Assumptions!$C$3:$E$3,0))</f>
      </c>
      <c r="J35">
        <f>H35*INDEX(Assumptions!$C:$E,MATCH("Gas reserve share of platform fee",Assumptions!$B:$B,0),MATCH(B35,Assumptions!$C$3:$E$3,0))</f>
      </c>
      <c r="K35">
        <f>H35-J35</f>
      </c>
    </row>
    <row r="36">
      <c r="A36">
        <v>35</v>
      </c>
      <c r="B36" t="inlineStr">
        <is>
          <t>Conservative</t>
        </is>
      </c>
      <c r="C36">
        <f>SUMIFS(Funnel!$J:$J,Funnel!$A:$A,A36,Funnel!$B:$B,B36)</f>
      </c>
      <c r="D36">
        <f>C36*INDEX(Assumptions!$C:$E,MATCH("Tickets per active user per month",Assumptions!$B:$B,0),MATCH(B36,Assumptions!$C$3:$E$3,0))</f>
      </c>
      <c r="E36">
        <f>INDEX(Assumptions!$C:$E,MATCH("Average ticket",Assumptions!$B:$B,0),MATCH(B36,Assumptions!$C$3:$E$3,0))</f>
      </c>
      <c r="F36">
        <f>D36*E36</f>
      </c>
      <c r="G36">
        <f>F36*INDEX(Assumptions!$C:$E,MATCH("Prize pool share",Assumptions!$B:$B,0),MATCH(B36,Assumptions!$C$3:$E$3,0))</f>
      </c>
      <c r="H36">
        <f>F36*INDEX(Assumptions!$C:$E,MATCH("Platform fee share",Assumptions!$B:$B,0),MATCH(B36,Assumptions!$C$3:$E$3,0))</f>
      </c>
      <c r="I36">
        <f>F36*INDEX(Assumptions!$C:$E,MATCH("Jackpot contribution share",Assumptions!$B:$B,0),MATCH(B36,Assumptions!$C$3:$E$3,0))</f>
      </c>
      <c r="J36">
        <f>H36*INDEX(Assumptions!$C:$E,MATCH("Gas reserve share of platform fee",Assumptions!$B:$B,0),MATCH(B36,Assumptions!$C$3:$E$3,0))</f>
      </c>
      <c r="K36">
        <f>H36-J36</f>
      </c>
    </row>
    <row r="37">
      <c r="A37">
        <v>36</v>
      </c>
      <c r="B37" t="inlineStr">
        <is>
          <t>Conservative</t>
        </is>
      </c>
      <c r="C37">
        <f>SUMIFS(Funnel!$J:$J,Funnel!$A:$A,A37,Funnel!$B:$B,B37)</f>
      </c>
      <c r="D37">
        <f>C37*INDEX(Assumptions!$C:$E,MATCH("Tickets per active user per month",Assumptions!$B:$B,0),MATCH(B37,Assumptions!$C$3:$E$3,0))</f>
      </c>
      <c r="E37">
        <f>INDEX(Assumptions!$C:$E,MATCH("Average ticket",Assumptions!$B:$B,0),MATCH(B37,Assumptions!$C$3:$E$3,0))</f>
      </c>
      <c r="F37">
        <f>D37*E37</f>
      </c>
      <c r="G37">
        <f>F37*INDEX(Assumptions!$C:$E,MATCH("Prize pool share",Assumptions!$B:$B,0),MATCH(B37,Assumptions!$C$3:$E$3,0))</f>
      </c>
      <c r="H37">
        <f>F37*INDEX(Assumptions!$C:$E,MATCH("Platform fee share",Assumptions!$B:$B,0),MATCH(B37,Assumptions!$C$3:$E$3,0))</f>
      </c>
      <c r="I37">
        <f>F37*INDEX(Assumptions!$C:$E,MATCH("Jackpot contribution share",Assumptions!$B:$B,0),MATCH(B37,Assumptions!$C$3:$E$3,0))</f>
      </c>
      <c r="J37">
        <f>H37*INDEX(Assumptions!$C:$E,MATCH("Gas reserve share of platform fee",Assumptions!$B:$B,0),MATCH(B37,Assumptions!$C$3:$E$3,0))</f>
      </c>
      <c r="K37">
        <f>H37-J37</f>
      </c>
    </row>
    <row r="38">
      <c r="A38">
        <v>1</v>
      </c>
      <c r="B38" t="inlineStr">
        <is>
          <t>Base</t>
        </is>
      </c>
      <c r="C38">
        <f>SUMIFS(Funnel!$J:$J,Funnel!$A:$A,A38,Funnel!$B:$B,B38)</f>
      </c>
      <c r="D38">
        <f>C38*INDEX(Assumptions!$C:$E,MATCH("Tickets per active user per month",Assumptions!$B:$B,0),MATCH(B38,Assumptions!$C$3:$E$3,0))</f>
      </c>
      <c r="E38">
        <f>INDEX(Assumptions!$C:$E,MATCH("Average ticket",Assumptions!$B:$B,0),MATCH(B38,Assumptions!$C$3:$E$3,0))</f>
      </c>
      <c r="F38">
        <f>D38*E38</f>
      </c>
      <c r="G38">
        <f>F38*INDEX(Assumptions!$C:$E,MATCH("Prize pool share",Assumptions!$B:$B,0),MATCH(B38,Assumptions!$C$3:$E$3,0))</f>
      </c>
      <c r="H38">
        <f>F38*INDEX(Assumptions!$C:$E,MATCH("Platform fee share",Assumptions!$B:$B,0),MATCH(B38,Assumptions!$C$3:$E$3,0))</f>
      </c>
      <c r="I38">
        <f>F38*INDEX(Assumptions!$C:$E,MATCH("Jackpot contribution share",Assumptions!$B:$B,0),MATCH(B38,Assumptions!$C$3:$E$3,0))</f>
      </c>
      <c r="J38">
        <f>H38*INDEX(Assumptions!$C:$E,MATCH("Gas reserve share of platform fee",Assumptions!$B:$B,0),MATCH(B38,Assumptions!$C$3:$E$3,0))</f>
      </c>
      <c r="K38">
        <f>H38-J38</f>
      </c>
    </row>
    <row r="39">
      <c r="A39">
        <v>2</v>
      </c>
      <c r="B39" t="inlineStr">
        <is>
          <t>Base</t>
        </is>
      </c>
      <c r="C39">
        <f>SUMIFS(Funnel!$J:$J,Funnel!$A:$A,A39,Funnel!$B:$B,B39)</f>
      </c>
      <c r="D39">
        <f>C39*INDEX(Assumptions!$C:$E,MATCH("Tickets per active user per month",Assumptions!$B:$B,0),MATCH(B39,Assumptions!$C$3:$E$3,0))</f>
      </c>
      <c r="E39">
        <f>INDEX(Assumptions!$C:$E,MATCH("Average ticket",Assumptions!$B:$B,0),MATCH(B39,Assumptions!$C$3:$E$3,0))</f>
      </c>
      <c r="F39">
        <f>D39*E39</f>
      </c>
      <c r="G39">
        <f>F39*INDEX(Assumptions!$C:$E,MATCH("Prize pool share",Assumptions!$B:$B,0),MATCH(B39,Assumptions!$C$3:$E$3,0))</f>
      </c>
      <c r="H39">
        <f>F39*INDEX(Assumptions!$C:$E,MATCH("Platform fee share",Assumptions!$B:$B,0),MATCH(B39,Assumptions!$C$3:$E$3,0))</f>
      </c>
      <c r="I39">
        <f>F39*INDEX(Assumptions!$C:$E,MATCH("Jackpot contribution share",Assumptions!$B:$B,0),MATCH(B39,Assumptions!$C$3:$E$3,0))</f>
      </c>
      <c r="J39">
        <f>H39*INDEX(Assumptions!$C:$E,MATCH("Gas reserve share of platform fee",Assumptions!$B:$B,0),MATCH(B39,Assumptions!$C$3:$E$3,0))</f>
      </c>
      <c r="K39">
        <f>H39-J39</f>
      </c>
    </row>
    <row r="40">
      <c r="A40">
        <v>3</v>
      </c>
      <c r="B40" t="inlineStr">
        <is>
          <t>Base</t>
        </is>
      </c>
      <c r="C40">
        <f>SUMIFS(Funnel!$J:$J,Funnel!$A:$A,A40,Funnel!$B:$B,B40)</f>
      </c>
      <c r="D40">
        <f>C40*INDEX(Assumptions!$C:$E,MATCH("Tickets per active user per month",Assumptions!$B:$B,0),MATCH(B40,Assumptions!$C$3:$E$3,0))</f>
      </c>
      <c r="E40">
        <f>INDEX(Assumptions!$C:$E,MATCH("Average ticket",Assumptions!$B:$B,0),MATCH(B40,Assumptions!$C$3:$E$3,0))</f>
      </c>
      <c r="F40">
        <f>D40*E40</f>
      </c>
      <c r="G40">
        <f>F40*INDEX(Assumptions!$C:$E,MATCH("Prize pool share",Assumptions!$B:$B,0),MATCH(B40,Assumptions!$C$3:$E$3,0))</f>
      </c>
      <c r="H40">
        <f>F40*INDEX(Assumptions!$C:$E,MATCH("Platform fee share",Assumptions!$B:$B,0),MATCH(B40,Assumptions!$C$3:$E$3,0))</f>
      </c>
      <c r="I40">
        <f>F40*INDEX(Assumptions!$C:$E,MATCH("Jackpot contribution share",Assumptions!$B:$B,0),MATCH(B40,Assumptions!$C$3:$E$3,0))</f>
      </c>
      <c r="J40">
        <f>H40*INDEX(Assumptions!$C:$E,MATCH("Gas reserve share of platform fee",Assumptions!$B:$B,0),MATCH(B40,Assumptions!$C$3:$E$3,0))</f>
      </c>
      <c r="K40">
        <f>H40-J40</f>
      </c>
    </row>
    <row r="41">
      <c r="A41">
        <v>4</v>
      </c>
      <c r="B41" t="inlineStr">
        <is>
          <t>Base</t>
        </is>
      </c>
      <c r="C41">
        <f>SUMIFS(Funnel!$J:$J,Funnel!$A:$A,A41,Funnel!$B:$B,B41)</f>
      </c>
      <c r="D41">
        <f>C41*INDEX(Assumptions!$C:$E,MATCH("Tickets per active user per month",Assumptions!$B:$B,0),MATCH(B41,Assumptions!$C$3:$E$3,0))</f>
      </c>
      <c r="E41">
        <f>INDEX(Assumptions!$C:$E,MATCH("Average ticket",Assumptions!$B:$B,0),MATCH(B41,Assumptions!$C$3:$E$3,0))</f>
      </c>
      <c r="F41">
        <f>D41*E41</f>
      </c>
      <c r="G41">
        <f>F41*INDEX(Assumptions!$C:$E,MATCH("Prize pool share",Assumptions!$B:$B,0),MATCH(B41,Assumptions!$C$3:$E$3,0))</f>
      </c>
      <c r="H41">
        <f>F41*INDEX(Assumptions!$C:$E,MATCH("Platform fee share",Assumptions!$B:$B,0),MATCH(B41,Assumptions!$C$3:$E$3,0))</f>
      </c>
      <c r="I41">
        <f>F41*INDEX(Assumptions!$C:$E,MATCH("Jackpot contribution share",Assumptions!$B:$B,0),MATCH(B41,Assumptions!$C$3:$E$3,0))</f>
      </c>
      <c r="J41">
        <f>H41*INDEX(Assumptions!$C:$E,MATCH("Gas reserve share of platform fee",Assumptions!$B:$B,0),MATCH(B41,Assumptions!$C$3:$E$3,0))</f>
      </c>
      <c r="K41">
        <f>H41-J41</f>
      </c>
    </row>
    <row r="42">
      <c r="A42">
        <v>5</v>
      </c>
      <c r="B42" t="inlineStr">
        <is>
          <t>Base</t>
        </is>
      </c>
      <c r="C42">
        <f>SUMIFS(Funnel!$J:$J,Funnel!$A:$A,A42,Funnel!$B:$B,B42)</f>
      </c>
      <c r="D42">
        <f>C42*INDEX(Assumptions!$C:$E,MATCH("Tickets per active user per month",Assumptions!$B:$B,0),MATCH(B42,Assumptions!$C$3:$E$3,0))</f>
      </c>
      <c r="E42">
        <f>INDEX(Assumptions!$C:$E,MATCH("Average ticket",Assumptions!$B:$B,0),MATCH(B42,Assumptions!$C$3:$E$3,0))</f>
      </c>
      <c r="F42">
        <f>D42*E42</f>
      </c>
      <c r="G42">
        <f>F42*INDEX(Assumptions!$C:$E,MATCH("Prize pool share",Assumptions!$B:$B,0),MATCH(B42,Assumptions!$C$3:$E$3,0))</f>
      </c>
      <c r="H42">
        <f>F42*INDEX(Assumptions!$C:$E,MATCH("Platform fee share",Assumptions!$B:$B,0),MATCH(B42,Assumptions!$C$3:$E$3,0))</f>
      </c>
      <c r="I42">
        <f>F42*INDEX(Assumptions!$C:$E,MATCH("Jackpot contribution share",Assumptions!$B:$B,0),MATCH(B42,Assumptions!$C$3:$E$3,0))</f>
      </c>
      <c r="J42">
        <f>H42*INDEX(Assumptions!$C:$E,MATCH("Gas reserve share of platform fee",Assumptions!$B:$B,0),MATCH(B42,Assumptions!$C$3:$E$3,0))</f>
      </c>
      <c r="K42">
        <f>H42-J42</f>
      </c>
    </row>
    <row r="43">
      <c r="A43">
        <v>6</v>
      </c>
      <c r="B43" t="inlineStr">
        <is>
          <t>Base</t>
        </is>
      </c>
      <c r="C43">
        <f>SUMIFS(Funnel!$J:$J,Funnel!$A:$A,A43,Funnel!$B:$B,B43)</f>
      </c>
      <c r="D43">
        <f>C43*INDEX(Assumptions!$C:$E,MATCH("Tickets per active user per month",Assumptions!$B:$B,0),MATCH(B43,Assumptions!$C$3:$E$3,0))</f>
      </c>
      <c r="E43">
        <f>INDEX(Assumptions!$C:$E,MATCH("Average ticket",Assumptions!$B:$B,0),MATCH(B43,Assumptions!$C$3:$E$3,0))</f>
      </c>
      <c r="F43">
        <f>D43*E43</f>
      </c>
      <c r="G43">
        <f>F43*INDEX(Assumptions!$C:$E,MATCH("Prize pool share",Assumptions!$B:$B,0),MATCH(B43,Assumptions!$C$3:$E$3,0))</f>
      </c>
      <c r="H43">
        <f>F43*INDEX(Assumptions!$C:$E,MATCH("Platform fee share",Assumptions!$B:$B,0),MATCH(B43,Assumptions!$C$3:$E$3,0))</f>
      </c>
      <c r="I43">
        <f>F43*INDEX(Assumptions!$C:$E,MATCH("Jackpot contribution share",Assumptions!$B:$B,0),MATCH(B43,Assumptions!$C$3:$E$3,0))</f>
      </c>
      <c r="J43">
        <f>H43*INDEX(Assumptions!$C:$E,MATCH("Gas reserve share of platform fee",Assumptions!$B:$B,0),MATCH(B43,Assumptions!$C$3:$E$3,0))</f>
      </c>
      <c r="K43">
        <f>H43-J43</f>
      </c>
    </row>
    <row r="44">
      <c r="A44">
        <v>7</v>
      </c>
      <c r="B44" t="inlineStr">
        <is>
          <t>Base</t>
        </is>
      </c>
      <c r="C44">
        <f>SUMIFS(Funnel!$J:$J,Funnel!$A:$A,A44,Funnel!$B:$B,B44)</f>
      </c>
      <c r="D44">
        <f>C44*INDEX(Assumptions!$C:$E,MATCH("Tickets per active user per month",Assumptions!$B:$B,0),MATCH(B44,Assumptions!$C$3:$E$3,0))</f>
      </c>
      <c r="E44">
        <f>INDEX(Assumptions!$C:$E,MATCH("Average ticket",Assumptions!$B:$B,0),MATCH(B44,Assumptions!$C$3:$E$3,0))</f>
      </c>
      <c r="F44">
        <f>D44*E44</f>
      </c>
      <c r="G44">
        <f>F44*INDEX(Assumptions!$C:$E,MATCH("Prize pool share",Assumptions!$B:$B,0),MATCH(B44,Assumptions!$C$3:$E$3,0))</f>
      </c>
      <c r="H44">
        <f>F44*INDEX(Assumptions!$C:$E,MATCH("Platform fee share",Assumptions!$B:$B,0),MATCH(B44,Assumptions!$C$3:$E$3,0))</f>
      </c>
      <c r="I44">
        <f>F44*INDEX(Assumptions!$C:$E,MATCH("Jackpot contribution share",Assumptions!$B:$B,0),MATCH(B44,Assumptions!$C$3:$E$3,0))</f>
      </c>
      <c r="J44">
        <f>H44*INDEX(Assumptions!$C:$E,MATCH("Gas reserve share of platform fee",Assumptions!$B:$B,0),MATCH(B44,Assumptions!$C$3:$E$3,0))</f>
      </c>
      <c r="K44">
        <f>H44-J44</f>
      </c>
    </row>
    <row r="45">
      <c r="A45">
        <v>8</v>
      </c>
      <c r="B45" t="inlineStr">
        <is>
          <t>Base</t>
        </is>
      </c>
      <c r="C45">
        <f>SUMIFS(Funnel!$J:$J,Funnel!$A:$A,A45,Funnel!$B:$B,B45)</f>
      </c>
      <c r="D45">
        <f>C45*INDEX(Assumptions!$C:$E,MATCH("Tickets per active user per month",Assumptions!$B:$B,0),MATCH(B45,Assumptions!$C$3:$E$3,0))</f>
      </c>
      <c r="E45">
        <f>INDEX(Assumptions!$C:$E,MATCH("Average ticket",Assumptions!$B:$B,0),MATCH(B45,Assumptions!$C$3:$E$3,0))</f>
      </c>
      <c r="F45">
        <f>D45*E45</f>
      </c>
      <c r="G45">
        <f>F45*INDEX(Assumptions!$C:$E,MATCH("Prize pool share",Assumptions!$B:$B,0),MATCH(B45,Assumptions!$C$3:$E$3,0))</f>
      </c>
      <c r="H45">
        <f>F45*INDEX(Assumptions!$C:$E,MATCH("Platform fee share",Assumptions!$B:$B,0),MATCH(B45,Assumptions!$C$3:$E$3,0))</f>
      </c>
      <c r="I45">
        <f>F45*INDEX(Assumptions!$C:$E,MATCH("Jackpot contribution share",Assumptions!$B:$B,0),MATCH(B45,Assumptions!$C$3:$E$3,0))</f>
      </c>
      <c r="J45">
        <f>H45*INDEX(Assumptions!$C:$E,MATCH("Gas reserve share of platform fee",Assumptions!$B:$B,0),MATCH(B45,Assumptions!$C$3:$E$3,0))</f>
      </c>
      <c r="K45">
        <f>H45-J45</f>
      </c>
    </row>
    <row r="46">
      <c r="A46">
        <v>9</v>
      </c>
      <c r="B46" t="inlineStr">
        <is>
          <t>Base</t>
        </is>
      </c>
      <c r="C46">
        <f>SUMIFS(Funnel!$J:$J,Funnel!$A:$A,A46,Funnel!$B:$B,B46)</f>
      </c>
      <c r="D46">
        <f>C46*INDEX(Assumptions!$C:$E,MATCH("Tickets per active user per month",Assumptions!$B:$B,0),MATCH(B46,Assumptions!$C$3:$E$3,0))</f>
      </c>
      <c r="E46">
        <f>INDEX(Assumptions!$C:$E,MATCH("Average ticket",Assumptions!$B:$B,0),MATCH(B46,Assumptions!$C$3:$E$3,0))</f>
      </c>
      <c r="F46">
        <f>D46*E46</f>
      </c>
      <c r="G46">
        <f>F46*INDEX(Assumptions!$C:$E,MATCH("Prize pool share",Assumptions!$B:$B,0),MATCH(B46,Assumptions!$C$3:$E$3,0))</f>
      </c>
      <c r="H46">
        <f>F46*INDEX(Assumptions!$C:$E,MATCH("Platform fee share",Assumptions!$B:$B,0),MATCH(B46,Assumptions!$C$3:$E$3,0))</f>
      </c>
      <c r="I46">
        <f>F46*INDEX(Assumptions!$C:$E,MATCH("Jackpot contribution share",Assumptions!$B:$B,0),MATCH(B46,Assumptions!$C$3:$E$3,0))</f>
      </c>
      <c r="J46">
        <f>H46*INDEX(Assumptions!$C:$E,MATCH("Gas reserve share of platform fee",Assumptions!$B:$B,0),MATCH(B46,Assumptions!$C$3:$E$3,0))</f>
      </c>
      <c r="K46">
        <f>H46-J46</f>
      </c>
    </row>
    <row r="47">
      <c r="A47">
        <v>10</v>
      </c>
      <c r="B47" t="inlineStr">
        <is>
          <t>Base</t>
        </is>
      </c>
      <c r="C47">
        <f>SUMIFS(Funnel!$J:$J,Funnel!$A:$A,A47,Funnel!$B:$B,B47)</f>
      </c>
      <c r="D47">
        <f>C47*INDEX(Assumptions!$C:$E,MATCH("Tickets per active user per month",Assumptions!$B:$B,0),MATCH(B47,Assumptions!$C$3:$E$3,0))</f>
      </c>
      <c r="E47">
        <f>INDEX(Assumptions!$C:$E,MATCH("Average ticket",Assumptions!$B:$B,0),MATCH(B47,Assumptions!$C$3:$E$3,0))</f>
      </c>
      <c r="F47">
        <f>D47*E47</f>
      </c>
      <c r="G47">
        <f>F47*INDEX(Assumptions!$C:$E,MATCH("Prize pool share",Assumptions!$B:$B,0),MATCH(B47,Assumptions!$C$3:$E$3,0))</f>
      </c>
      <c r="H47">
        <f>F47*INDEX(Assumptions!$C:$E,MATCH("Platform fee share",Assumptions!$B:$B,0),MATCH(B47,Assumptions!$C$3:$E$3,0))</f>
      </c>
      <c r="I47">
        <f>F47*INDEX(Assumptions!$C:$E,MATCH("Jackpot contribution share",Assumptions!$B:$B,0),MATCH(B47,Assumptions!$C$3:$E$3,0))</f>
      </c>
      <c r="J47">
        <f>H47*INDEX(Assumptions!$C:$E,MATCH("Gas reserve share of platform fee",Assumptions!$B:$B,0),MATCH(B47,Assumptions!$C$3:$E$3,0))</f>
      </c>
      <c r="K47">
        <f>H47-J47</f>
      </c>
    </row>
    <row r="48">
      <c r="A48">
        <v>11</v>
      </c>
      <c r="B48" t="inlineStr">
        <is>
          <t>Base</t>
        </is>
      </c>
      <c r="C48">
        <f>SUMIFS(Funnel!$J:$J,Funnel!$A:$A,A48,Funnel!$B:$B,B48)</f>
      </c>
      <c r="D48">
        <f>C48*INDEX(Assumptions!$C:$E,MATCH("Tickets per active user per month",Assumptions!$B:$B,0),MATCH(B48,Assumptions!$C$3:$E$3,0))</f>
      </c>
      <c r="E48">
        <f>INDEX(Assumptions!$C:$E,MATCH("Average ticket",Assumptions!$B:$B,0),MATCH(B48,Assumptions!$C$3:$E$3,0))</f>
      </c>
      <c r="F48">
        <f>D48*E48</f>
      </c>
      <c r="G48">
        <f>F48*INDEX(Assumptions!$C:$E,MATCH("Prize pool share",Assumptions!$B:$B,0),MATCH(B48,Assumptions!$C$3:$E$3,0))</f>
      </c>
      <c r="H48">
        <f>F48*INDEX(Assumptions!$C:$E,MATCH("Platform fee share",Assumptions!$B:$B,0),MATCH(B48,Assumptions!$C$3:$E$3,0))</f>
      </c>
      <c r="I48">
        <f>F48*INDEX(Assumptions!$C:$E,MATCH("Jackpot contribution share",Assumptions!$B:$B,0),MATCH(B48,Assumptions!$C$3:$E$3,0))</f>
      </c>
      <c r="J48">
        <f>H48*INDEX(Assumptions!$C:$E,MATCH("Gas reserve share of platform fee",Assumptions!$B:$B,0),MATCH(B48,Assumptions!$C$3:$E$3,0))</f>
      </c>
      <c r="K48">
        <f>H48-J48</f>
      </c>
    </row>
    <row r="49">
      <c r="A49">
        <v>12</v>
      </c>
      <c r="B49" t="inlineStr">
        <is>
          <t>Base</t>
        </is>
      </c>
      <c r="C49">
        <f>SUMIFS(Funnel!$J:$J,Funnel!$A:$A,A49,Funnel!$B:$B,B49)</f>
      </c>
      <c r="D49">
        <f>C49*INDEX(Assumptions!$C:$E,MATCH("Tickets per active user per month",Assumptions!$B:$B,0),MATCH(B49,Assumptions!$C$3:$E$3,0))</f>
      </c>
      <c r="E49">
        <f>INDEX(Assumptions!$C:$E,MATCH("Average ticket",Assumptions!$B:$B,0),MATCH(B49,Assumptions!$C$3:$E$3,0))</f>
      </c>
      <c r="F49">
        <f>D49*E49</f>
      </c>
      <c r="G49">
        <f>F49*INDEX(Assumptions!$C:$E,MATCH("Prize pool share",Assumptions!$B:$B,0),MATCH(B49,Assumptions!$C$3:$E$3,0))</f>
      </c>
      <c r="H49">
        <f>F49*INDEX(Assumptions!$C:$E,MATCH("Platform fee share",Assumptions!$B:$B,0),MATCH(B49,Assumptions!$C$3:$E$3,0))</f>
      </c>
      <c r="I49">
        <f>F49*INDEX(Assumptions!$C:$E,MATCH("Jackpot contribution share",Assumptions!$B:$B,0),MATCH(B49,Assumptions!$C$3:$E$3,0))</f>
      </c>
      <c r="J49">
        <f>H49*INDEX(Assumptions!$C:$E,MATCH("Gas reserve share of platform fee",Assumptions!$B:$B,0),MATCH(B49,Assumptions!$C$3:$E$3,0))</f>
      </c>
      <c r="K49">
        <f>H49-J49</f>
      </c>
    </row>
    <row r="50">
      <c r="A50">
        <v>13</v>
      </c>
      <c r="B50" t="inlineStr">
        <is>
          <t>Base</t>
        </is>
      </c>
      <c r="C50">
        <f>SUMIFS(Funnel!$J:$J,Funnel!$A:$A,A50,Funnel!$B:$B,B50)</f>
      </c>
      <c r="D50">
        <f>C50*INDEX(Assumptions!$C:$E,MATCH("Tickets per active user per month",Assumptions!$B:$B,0),MATCH(B50,Assumptions!$C$3:$E$3,0))</f>
      </c>
      <c r="E50">
        <f>INDEX(Assumptions!$C:$E,MATCH("Average ticket",Assumptions!$B:$B,0),MATCH(B50,Assumptions!$C$3:$E$3,0))</f>
      </c>
      <c r="F50">
        <f>D50*E50</f>
      </c>
      <c r="G50">
        <f>F50*INDEX(Assumptions!$C:$E,MATCH("Prize pool share",Assumptions!$B:$B,0),MATCH(B50,Assumptions!$C$3:$E$3,0))</f>
      </c>
      <c r="H50">
        <f>F50*INDEX(Assumptions!$C:$E,MATCH("Platform fee share",Assumptions!$B:$B,0),MATCH(B50,Assumptions!$C$3:$E$3,0))</f>
      </c>
      <c r="I50">
        <f>F50*INDEX(Assumptions!$C:$E,MATCH("Jackpot contribution share",Assumptions!$B:$B,0),MATCH(B50,Assumptions!$C$3:$E$3,0))</f>
      </c>
      <c r="J50">
        <f>H50*INDEX(Assumptions!$C:$E,MATCH("Gas reserve share of platform fee",Assumptions!$B:$B,0),MATCH(B50,Assumptions!$C$3:$E$3,0))</f>
      </c>
      <c r="K50">
        <f>H50-J50</f>
      </c>
    </row>
    <row r="51">
      <c r="A51">
        <v>14</v>
      </c>
      <c r="B51" t="inlineStr">
        <is>
          <t>Base</t>
        </is>
      </c>
      <c r="C51">
        <f>SUMIFS(Funnel!$J:$J,Funnel!$A:$A,A51,Funnel!$B:$B,B51)</f>
      </c>
      <c r="D51">
        <f>C51*INDEX(Assumptions!$C:$E,MATCH("Tickets per active user per month",Assumptions!$B:$B,0),MATCH(B51,Assumptions!$C$3:$E$3,0))</f>
      </c>
      <c r="E51">
        <f>INDEX(Assumptions!$C:$E,MATCH("Average ticket",Assumptions!$B:$B,0),MATCH(B51,Assumptions!$C$3:$E$3,0))</f>
      </c>
      <c r="F51">
        <f>D51*E51</f>
      </c>
      <c r="G51">
        <f>F51*INDEX(Assumptions!$C:$E,MATCH("Prize pool share",Assumptions!$B:$B,0),MATCH(B51,Assumptions!$C$3:$E$3,0))</f>
      </c>
      <c r="H51">
        <f>F51*INDEX(Assumptions!$C:$E,MATCH("Platform fee share",Assumptions!$B:$B,0),MATCH(B51,Assumptions!$C$3:$E$3,0))</f>
      </c>
      <c r="I51">
        <f>F51*INDEX(Assumptions!$C:$E,MATCH("Jackpot contribution share",Assumptions!$B:$B,0),MATCH(B51,Assumptions!$C$3:$E$3,0))</f>
      </c>
      <c r="J51">
        <f>H51*INDEX(Assumptions!$C:$E,MATCH("Gas reserve share of platform fee",Assumptions!$B:$B,0),MATCH(B51,Assumptions!$C$3:$E$3,0))</f>
      </c>
      <c r="K51">
        <f>H51-J51</f>
      </c>
    </row>
    <row r="52">
      <c r="A52">
        <v>15</v>
      </c>
      <c r="B52" t="inlineStr">
        <is>
          <t>Base</t>
        </is>
      </c>
      <c r="C52">
        <f>SUMIFS(Funnel!$J:$J,Funnel!$A:$A,A52,Funnel!$B:$B,B52)</f>
      </c>
      <c r="D52">
        <f>C52*INDEX(Assumptions!$C:$E,MATCH("Tickets per active user per month",Assumptions!$B:$B,0),MATCH(B52,Assumptions!$C$3:$E$3,0))</f>
      </c>
      <c r="E52">
        <f>INDEX(Assumptions!$C:$E,MATCH("Average ticket",Assumptions!$B:$B,0),MATCH(B52,Assumptions!$C$3:$E$3,0))</f>
      </c>
      <c r="F52">
        <f>D52*E52</f>
      </c>
      <c r="G52">
        <f>F52*INDEX(Assumptions!$C:$E,MATCH("Prize pool share",Assumptions!$B:$B,0),MATCH(B52,Assumptions!$C$3:$E$3,0))</f>
      </c>
      <c r="H52">
        <f>F52*INDEX(Assumptions!$C:$E,MATCH("Platform fee share",Assumptions!$B:$B,0),MATCH(B52,Assumptions!$C$3:$E$3,0))</f>
      </c>
      <c r="I52">
        <f>F52*INDEX(Assumptions!$C:$E,MATCH("Jackpot contribution share",Assumptions!$B:$B,0),MATCH(B52,Assumptions!$C$3:$E$3,0))</f>
      </c>
      <c r="J52">
        <f>H52*INDEX(Assumptions!$C:$E,MATCH("Gas reserve share of platform fee",Assumptions!$B:$B,0),MATCH(B52,Assumptions!$C$3:$E$3,0))</f>
      </c>
      <c r="K52">
        <f>H52-J52</f>
      </c>
    </row>
    <row r="53">
      <c r="A53">
        <v>16</v>
      </c>
      <c r="B53" t="inlineStr">
        <is>
          <t>Base</t>
        </is>
      </c>
      <c r="C53">
        <f>SUMIFS(Funnel!$J:$J,Funnel!$A:$A,A53,Funnel!$B:$B,B53)</f>
      </c>
      <c r="D53">
        <f>C53*INDEX(Assumptions!$C:$E,MATCH("Tickets per active user per month",Assumptions!$B:$B,0),MATCH(B53,Assumptions!$C$3:$E$3,0))</f>
      </c>
      <c r="E53">
        <f>INDEX(Assumptions!$C:$E,MATCH("Average ticket",Assumptions!$B:$B,0),MATCH(B53,Assumptions!$C$3:$E$3,0))</f>
      </c>
      <c r="F53">
        <f>D53*E53</f>
      </c>
      <c r="G53">
        <f>F53*INDEX(Assumptions!$C:$E,MATCH("Prize pool share",Assumptions!$B:$B,0),MATCH(B53,Assumptions!$C$3:$E$3,0))</f>
      </c>
      <c r="H53">
        <f>F53*INDEX(Assumptions!$C:$E,MATCH("Platform fee share",Assumptions!$B:$B,0),MATCH(B53,Assumptions!$C$3:$E$3,0))</f>
      </c>
      <c r="I53">
        <f>F53*INDEX(Assumptions!$C:$E,MATCH("Jackpot contribution share",Assumptions!$B:$B,0),MATCH(B53,Assumptions!$C$3:$E$3,0))</f>
      </c>
      <c r="J53">
        <f>H53*INDEX(Assumptions!$C:$E,MATCH("Gas reserve share of platform fee",Assumptions!$B:$B,0),MATCH(B53,Assumptions!$C$3:$E$3,0))</f>
      </c>
      <c r="K53">
        <f>H53-J53</f>
      </c>
    </row>
    <row r="54">
      <c r="A54">
        <v>17</v>
      </c>
      <c r="B54" t="inlineStr">
        <is>
          <t>Base</t>
        </is>
      </c>
      <c r="C54">
        <f>SUMIFS(Funnel!$J:$J,Funnel!$A:$A,A54,Funnel!$B:$B,B54)</f>
      </c>
      <c r="D54">
        <f>C54*INDEX(Assumptions!$C:$E,MATCH("Tickets per active user per month",Assumptions!$B:$B,0),MATCH(B54,Assumptions!$C$3:$E$3,0))</f>
      </c>
      <c r="E54">
        <f>INDEX(Assumptions!$C:$E,MATCH("Average ticket",Assumptions!$B:$B,0),MATCH(B54,Assumptions!$C$3:$E$3,0))</f>
      </c>
      <c r="F54">
        <f>D54*E54</f>
      </c>
      <c r="G54">
        <f>F54*INDEX(Assumptions!$C:$E,MATCH("Prize pool share",Assumptions!$B:$B,0),MATCH(B54,Assumptions!$C$3:$E$3,0))</f>
      </c>
      <c r="H54">
        <f>F54*INDEX(Assumptions!$C:$E,MATCH("Platform fee share",Assumptions!$B:$B,0),MATCH(B54,Assumptions!$C$3:$E$3,0))</f>
      </c>
      <c r="I54">
        <f>F54*INDEX(Assumptions!$C:$E,MATCH("Jackpot contribution share",Assumptions!$B:$B,0),MATCH(B54,Assumptions!$C$3:$E$3,0))</f>
      </c>
      <c r="J54">
        <f>H54*INDEX(Assumptions!$C:$E,MATCH("Gas reserve share of platform fee",Assumptions!$B:$B,0),MATCH(B54,Assumptions!$C$3:$E$3,0))</f>
      </c>
      <c r="K54">
        <f>H54-J54</f>
      </c>
    </row>
    <row r="55">
      <c r="A55">
        <v>18</v>
      </c>
      <c r="B55" t="inlineStr">
        <is>
          <t>Base</t>
        </is>
      </c>
      <c r="C55">
        <f>SUMIFS(Funnel!$J:$J,Funnel!$A:$A,A55,Funnel!$B:$B,B55)</f>
      </c>
      <c r="D55">
        <f>C55*INDEX(Assumptions!$C:$E,MATCH("Tickets per active user per month",Assumptions!$B:$B,0),MATCH(B55,Assumptions!$C$3:$E$3,0))</f>
      </c>
      <c r="E55">
        <f>INDEX(Assumptions!$C:$E,MATCH("Average ticket",Assumptions!$B:$B,0),MATCH(B55,Assumptions!$C$3:$E$3,0))</f>
      </c>
      <c r="F55">
        <f>D55*E55</f>
      </c>
      <c r="G55">
        <f>F55*INDEX(Assumptions!$C:$E,MATCH("Prize pool share",Assumptions!$B:$B,0),MATCH(B55,Assumptions!$C$3:$E$3,0))</f>
      </c>
      <c r="H55">
        <f>F55*INDEX(Assumptions!$C:$E,MATCH("Platform fee share",Assumptions!$B:$B,0),MATCH(B55,Assumptions!$C$3:$E$3,0))</f>
      </c>
      <c r="I55">
        <f>F55*INDEX(Assumptions!$C:$E,MATCH("Jackpot contribution share",Assumptions!$B:$B,0),MATCH(B55,Assumptions!$C$3:$E$3,0))</f>
      </c>
      <c r="J55">
        <f>H55*INDEX(Assumptions!$C:$E,MATCH("Gas reserve share of platform fee",Assumptions!$B:$B,0),MATCH(B55,Assumptions!$C$3:$E$3,0))</f>
      </c>
      <c r="K55">
        <f>H55-J55</f>
      </c>
    </row>
    <row r="56">
      <c r="A56">
        <v>19</v>
      </c>
      <c r="B56" t="inlineStr">
        <is>
          <t>Base</t>
        </is>
      </c>
      <c r="C56">
        <f>SUMIFS(Funnel!$J:$J,Funnel!$A:$A,A56,Funnel!$B:$B,B56)</f>
      </c>
      <c r="D56">
        <f>C56*INDEX(Assumptions!$C:$E,MATCH("Tickets per active user per month",Assumptions!$B:$B,0),MATCH(B56,Assumptions!$C$3:$E$3,0))</f>
      </c>
      <c r="E56">
        <f>INDEX(Assumptions!$C:$E,MATCH("Average ticket",Assumptions!$B:$B,0),MATCH(B56,Assumptions!$C$3:$E$3,0))</f>
      </c>
      <c r="F56">
        <f>D56*E56</f>
      </c>
      <c r="G56">
        <f>F56*INDEX(Assumptions!$C:$E,MATCH("Prize pool share",Assumptions!$B:$B,0),MATCH(B56,Assumptions!$C$3:$E$3,0))</f>
      </c>
      <c r="H56">
        <f>F56*INDEX(Assumptions!$C:$E,MATCH("Platform fee share",Assumptions!$B:$B,0),MATCH(B56,Assumptions!$C$3:$E$3,0))</f>
      </c>
      <c r="I56">
        <f>F56*INDEX(Assumptions!$C:$E,MATCH("Jackpot contribution share",Assumptions!$B:$B,0),MATCH(B56,Assumptions!$C$3:$E$3,0))</f>
      </c>
      <c r="J56">
        <f>H56*INDEX(Assumptions!$C:$E,MATCH("Gas reserve share of platform fee",Assumptions!$B:$B,0),MATCH(B56,Assumptions!$C$3:$E$3,0))</f>
      </c>
      <c r="K56">
        <f>H56-J56</f>
      </c>
    </row>
    <row r="57">
      <c r="A57">
        <v>20</v>
      </c>
      <c r="B57" t="inlineStr">
        <is>
          <t>Base</t>
        </is>
      </c>
      <c r="C57">
        <f>SUMIFS(Funnel!$J:$J,Funnel!$A:$A,A57,Funnel!$B:$B,B57)</f>
      </c>
      <c r="D57">
        <f>C57*INDEX(Assumptions!$C:$E,MATCH("Tickets per active user per month",Assumptions!$B:$B,0),MATCH(B57,Assumptions!$C$3:$E$3,0))</f>
      </c>
      <c r="E57">
        <f>INDEX(Assumptions!$C:$E,MATCH("Average ticket",Assumptions!$B:$B,0),MATCH(B57,Assumptions!$C$3:$E$3,0))</f>
      </c>
      <c r="F57">
        <f>D57*E57</f>
      </c>
      <c r="G57">
        <f>F57*INDEX(Assumptions!$C:$E,MATCH("Prize pool share",Assumptions!$B:$B,0),MATCH(B57,Assumptions!$C$3:$E$3,0))</f>
      </c>
      <c r="H57">
        <f>F57*INDEX(Assumptions!$C:$E,MATCH("Platform fee share",Assumptions!$B:$B,0),MATCH(B57,Assumptions!$C$3:$E$3,0))</f>
      </c>
      <c r="I57">
        <f>F57*INDEX(Assumptions!$C:$E,MATCH("Jackpot contribution share",Assumptions!$B:$B,0),MATCH(B57,Assumptions!$C$3:$E$3,0))</f>
      </c>
      <c r="J57">
        <f>H57*INDEX(Assumptions!$C:$E,MATCH("Gas reserve share of platform fee",Assumptions!$B:$B,0),MATCH(B57,Assumptions!$C$3:$E$3,0))</f>
      </c>
      <c r="K57">
        <f>H57-J57</f>
      </c>
    </row>
    <row r="58">
      <c r="A58">
        <v>21</v>
      </c>
      <c r="B58" t="inlineStr">
        <is>
          <t>Base</t>
        </is>
      </c>
      <c r="C58">
        <f>SUMIFS(Funnel!$J:$J,Funnel!$A:$A,A58,Funnel!$B:$B,B58)</f>
      </c>
      <c r="D58">
        <f>C58*INDEX(Assumptions!$C:$E,MATCH("Tickets per active user per month",Assumptions!$B:$B,0),MATCH(B58,Assumptions!$C$3:$E$3,0))</f>
      </c>
      <c r="E58">
        <f>INDEX(Assumptions!$C:$E,MATCH("Average ticket",Assumptions!$B:$B,0),MATCH(B58,Assumptions!$C$3:$E$3,0))</f>
      </c>
      <c r="F58">
        <f>D58*E58</f>
      </c>
      <c r="G58">
        <f>F58*INDEX(Assumptions!$C:$E,MATCH("Prize pool share",Assumptions!$B:$B,0),MATCH(B58,Assumptions!$C$3:$E$3,0))</f>
      </c>
      <c r="H58">
        <f>F58*INDEX(Assumptions!$C:$E,MATCH("Platform fee share",Assumptions!$B:$B,0),MATCH(B58,Assumptions!$C$3:$E$3,0))</f>
      </c>
      <c r="I58">
        <f>F58*INDEX(Assumptions!$C:$E,MATCH("Jackpot contribution share",Assumptions!$B:$B,0),MATCH(B58,Assumptions!$C$3:$E$3,0))</f>
      </c>
      <c r="J58">
        <f>H58*INDEX(Assumptions!$C:$E,MATCH("Gas reserve share of platform fee",Assumptions!$B:$B,0),MATCH(B58,Assumptions!$C$3:$E$3,0))</f>
      </c>
      <c r="K58">
        <f>H58-J58</f>
      </c>
    </row>
    <row r="59">
      <c r="A59">
        <v>22</v>
      </c>
      <c r="B59" t="inlineStr">
        <is>
          <t>Base</t>
        </is>
      </c>
      <c r="C59">
        <f>SUMIFS(Funnel!$J:$J,Funnel!$A:$A,A59,Funnel!$B:$B,B59)</f>
      </c>
      <c r="D59">
        <f>C59*INDEX(Assumptions!$C:$E,MATCH("Tickets per active user per month",Assumptions!$B:$B,0),MATCH(B59,Assumptions!$C$3:$E$3,0))</f>
      </c>
      <c r="E59">
        <f>INDEX(Assumptions!$C:$E,MATCH("Average ticket",Assumptions!$B:$B,0),MATCH(B59,Assumptions!$C$3:$E$3,0))</f>
      </c>
      <c r="F59">
        <f>D59*E59</f>
      </c>
      <c r="G59">
        <f>F59*INDEX(Assumptions!$C:$E,MATCH("Prize pool share",Assumptions!$B:$B,0),MATCH(B59,Assumptions!$C$3:$E$3,0))</f>
      </c>
      <c r="H59">
        <f>F59*INDEX(Assumptions!$C:$E,MATCH("Platform fee share",Assumptions!$B:$B,0),MATCH(B59,Assumptions!$C$3:$E$3,0))</f>
      </c>
      <c r="I59">
        <f>F59*INDEX(Assumptions!$C:$E,MATCH("Jackpot contribution share",Assumptions!$B:$B,0),MATCH(B59,Assumptions!$C$3:$E$3,0))</f>
      </c>
      <c r="J59">
        <f>H59*INDEX(Assumptions!$C:$E,MATCH("Gas reserve share of platform fee",Assumptions!$B:$B,0),MATCH(B59,Assumptions!$C$3:$E$3,0))</f>
      </c>
      <c r="K59">
        <f>H59-J59</f>
      </c>
    </row>
    <row r="60">
      <c r="A60">
        <v>23</v>
      </c>
      <c r="B60" t="inlineStr">
        <is>
          <t>Base</t>
        </is>
      </c>
      <c r="C60">
        <f>SUMIFS(Funnel!$J:$J,Funnel!$A:$A,A60,Funnel!$B:$B,B60)</f>
      </c>
      <c r="D60">
        <f>C60*INDEX(Assumptions!$C:$E,MATCH("Tickets per active user per month",Assumptions!$B:$B,0),MATCH(B60,Assumptions!$C$3:$E$3,0))</f>
      </c>
      <c r="E60">
        <f>INDEX(Assumptions!$C:$E,MATCH("Average ticket",Assumptions!$B:$B,0),MATCH(B60,Assumptions!$C$3:$E$3,0))</f>
      </c>
      <c r="F60">
        <f>D60*E60</f>
      </c>
      <c r="G60">
        <f>F60*INDEX(Assumptions!$C:$E,MATCH("Prize pool share",Assumptions!$B:$B,0),MATCH(B60,Assumptions!$C$3:$E$3,0))</f>
      </c>
      <c r="H60">
        <f>F60*INDEX(Assumptions!$C:$E,MATCH("Platform fee share",Assumptions!$B:$B,0),MATCH(B60,Assumptions!$C$3:$E$3,0))</f>
      </c>
      <c r="I60">
        <f>F60*INDEX(Assumptions!$C:$E,MATCH("Jackpot contribution share",Assumptions!$B:$B,0),MATCH(B60,Assumptions!$C$3:$E$3,0))</f>
      </c>
      <c r="J60">
        <f>H60*INDEX(Assumptions!$C:$E,MATCH("Gas reserve share of platform fee",Assumptions!$B:$B,0),MATCH(B60,Assumptions!$C$3:$E$3,0))</f>
      </c>
      <c r="K60">
        <f>H60-J60</f>
      </c>
    </row>
    <row r="61">
      <c r="A61">
        <v>24</v>
      </c>
      <c r="B61" t="inlineStr">
        <is>
          <t>Base</t>
        </is>
      </c>
      <c r="C61">
        <f>SUMIFS(Funnel!$J:$J,Funnel!$A:$A,A61,Funnel!$B:$B,B61)</f>
      </c>
      <c r="D61">
        <f>C61*INDEX(Assumptions!$C:$E,MATCH("Tickets per active user per month",Assumptions!$B:$B,0),MATCH(B61,Assumptions!$C$3:$E$3,0))</f>
      </c>
      <c r="E61">
        <f>INDEX(Assumptions!$C:$E,MATCH("Average ticket",Assumptions!$B:$B,0),MATCH(B61,Assumptions!$C$3:$E$3,0))</f>
      </c>
      <c r="F61">
        <f>D61*E61</f>
      </c>
      <c r="G61">
        <f>F61*INDEX(Assumptions!$C:$E,MATCH("Prize pool share",Assumptions!$B:$B,0),MATCH(B61,Assumptions!$C$3:$E$3,0))</f>
      </c>
      <c r="H61">
        <f>F61*INDEX(Assumptions!$C:$E,MATCH("Platform fee share",Assumptions!$B:$B,0),MATCH(B61,Assumptions!$C$3:$E$3,0))</f>
      </c>
      <c r="I61">
        <f>F61*INDEX(Assumptions!$C:$E,MATCH("Jackpot contribution share",Assumptions!$B:$B,0),MATCH(B61,Assumptions!$C$3:$E$3,0))</f>
      </c>
      <c r="J61">
        <f>H61*INDEX(Assumptions!$C:$E,MATCH("Gas reserve share of platform fee",Assumptions!$B:$B,0),MATCH(B61,Assumptions!$C$3:$E$3,0))</f>
      </c>
      <c r="K61">
        <f>H61-J61</f>
      </c>
    </row>
    <row r="62">
      <c r="A62">
        <v>25</v>
      </c>
      <c r="B62" t="inlineStr">
        <is>
          <t>Base</t>
        </is>
      </c>
      <c r="C62">
        <f>SUMIFS(Funnel!$J:$J,Funnel!$A:$A,A62,Funnel!$B:$B,B62)</f>
      </c>
      <c r="D62">
        <f>C62*INDEX(Assumptions!$C:$E,MATCH("Tickets per active user per month",Assumptions!$B:$B,0),MATCH(B62,Assumptions!$C$3:$E$3,0))</f>
      </c>
      <c r="E62">
        <f>INDEX(Assumptions!$C:$E,MATCH("Average ticket",Assumptions!$B:$B,0),MATCH(B62,Assumptions!$C$3:$E$3,0))</f>
      </c>
      <c r="F62">
        <f>D62*E62</f>
      </c>
      <c r="G62">
        <f>F62*INDEX(Assumptions!$C:$E,MATCH("Prize pool share",Assumptions!$B:$B,0),MATCH(B62,Assumptions!$C$3:$E$3,0))</f>
      </c>
      <c r="H62">
        <f>F62*INDEX(Assumptions!$C:$E,MATCH("Platform fee share",Assumptions!$B:$B,0),MATCH(B62,Assumptions!$C$3:$E$3,0))</f>
      </c>
      <c r="I62">
        <f>F62*INDEX(Assumptions!$C:$E,MATCH("Jackpot contribution share",Assumptions!$B:$B,0),MATCH(B62,Assumptions!$C$3:$E$3,0))</f>
      </c>
      <c r="J62">
        <f>H62*INDEX(Assumptions!$C:$E,MATCH("Gas reserve share of platform fee",Assumptions!$B:$B,0),MATCH(B62,Assumptions!$C$3:$E$3,0))</f>
      </c>
      <c r="K62">
        <f>H62-J62</f>
      </c>
    </row>
    <row r="63">
      <c r="A63">
        <v>26</v>
      </c>
      <c r="B63" t="inlineStr">
        <is>
          <t>Base</t>
        </is>
      </c>
      <c r="C63">
        <f>SUMIFS(Funnel!$J:$J,Funnel!$A:$A,A63,Funnel!$B:$B,B63)</f>
      </c>
      <c r="D63">
        <f>C63*INDEX(Assumptions!$C:$E,MATCH("Tickets per active user per month",Assumptions!$B:$B,0),MATCH(B63,Assumptions!$C$3:$E$3,0))</f>
      </c>
      <c r="E63">
        <f>INDEX(Assumptions!$C:$E,MATCH("Average ticket",Assumptions!$B:$B,0),MATCH(B63,Assumptions!$C$3:$E$3,0))</f>
      </c>
      <c r="F63">
        <f>D63*E63</f>
      </c>
      <c r="G63">
        <f>F63*INDEX(Assumptions!$C:$E,MATCH("Prize pool share",Assumptions!$B:$B,0),MATCH(B63,Assumptions!$C$3:$E$3,0))</f>
      </c>
      <c r="H63">
        <f>F63*INDEX(Assumptions!$C:$E,MATCH("Platform fee share",Assumptions!$B:$B,0),MATCH(B63,Assumptions!$C$3:$E$3,0))</f>
      </c>
      <c r="I63">
        <f>F63*INDEX(Assumptions!$C:$E,MATCH("Jackpot contribution share",Assumptions!$B:$B,0),MATCH(B63,Assumptions!$C$3:$E$3,0))</f>
      </c>
      <c r="J63">
        <f>H63*INDEX(Assumptions!$C:$E,MATCH("Gas reserve share of platform fee",Assumptions!$B:$B,0),MATCH(B63,Assumptions!$C$3:$E$3,0))</f>
      </c>
      <c r="K63">
        <f>H63-J63</f>
      </c>
    </row>
    <row r="64">
      <c r="A64">
        <v>27</v>
      </c>
      <c r="B64" t="inlineStr">
        <is>
          <t>Base</t>
        </is>
      </c>
      <c r="C64">
        <f>SUMIFS(Funnel!$J:$J,Funnel!$A:$A,A64,Funnel!$B:$B,B64)</f>
      </c>
      <c r="D64">
        <f>C64*INDEX(Assumptions!$C:$E,MATCH("Tickets per active user per month",Assumptions!$B:$B,0),MATCH(B64,Assumptions!$C$3:$E$3,0))</f>
      </c>
      <c r="E64">
        <f>INDEX(Assumptions!$C:$E,MATCH("Average ticket",Assumptions!$B:$B,0),MATCH(B64,Assumptions!$C$3:$E$3,0))</f>
      </c>
      <c r="F64">
        <f>D64*E64</f>
      </c>
      <c r="G64">
        <f>F64*INDEX(Assumptions!$C:$E,MATCH("Prize pool share",Assumptions!$B:$B,0),MATCH(B64,Assumptions!$C$3:$E$3,0))</f>
      </c>
      <c r="H64">
        <f>F64*INDEX(Assumptions!$C:$E,MATCH("Platform fee share",Assumptions!$B:$B,0),MATCH(B64,Assumptions!$C$3:$E$3,0))</f>
      </c>
      <c r="I64">
        <f>F64*INDEX(Assumptions!$C:$E,MATCH("Jackpot contribution share",Assumptions!$B:$B,0),MATCH(B64,Assumptions!$C$3:$E$3,0))</f>
      </c>
      <c r="J64">
        <f>H64*INDEX(Assumptions!$C:$E,MATCH("Gas reserve share of platform fee",Assumptions!$B:$B,0),MATCH(B64,Assumptions!$C$3:$E$3,0))</f>
      </c>
      <c r="K64">
        <f>H64-J64</f>
      </c>
    </row>
    <row r="65">
      <c r="A65">
        <v>28</v>
      </c>
      <c r="B65" t="inlineStr">
        <is>
          <t>Base</t>
        </is>
      </c>
      <c r="C65">
        <f>SUMIFS(Funnel!$J:$J,Funnel!$A:$A,A65,Funnel!$B:$B,B65)</f>
      </c>
      <c r="D65">
        <f>C65*INDEX(Assumptions!$C:$E,MATCH("Tickets per active user per month",Assumptions!$B:$B,0),MATCH(B65,Assumptions!$C$3:$E$3,0))</f>
      </c>
      <c r="E65">
        <f>INDEX(Assumptions!$C:$E,MATCH("Average ticket",Assumptions!$B:$B,0),MATCH(B65,Assumptions!$C$3:$E$3,0))</f>
      </c>
      <c r="F65">
        <f>D65*E65</f>
      </c>
      <c r="G65">
        <f>F65*INDEX(Assumptions!$C:$E,MATCH("Prize pool share",Assumptions!$B:$B,0),MATCH(B65,Assumptions!$C$3:$E$3,0))</f>
      </c>
      <c r="H65">
        <f>F65*INDEX(Assumptions!$C:$E,MATCH("Platform fee share",Assumptions!$B:$B,0),MATCH(B65,Assumptions!$C$3:$E$3,0))</f>
      </c>
      <c r="I65">
        <f>F65*INDEX(Assumptions!$C:$E,MATCH("Jackpot contribution share",Assumptions!$B:$B,0),MATCH(B65,Assumptions!$C$3:$E$3,0))</f>
      </c>
      <c r="J65">
        <f>H65*INDEX(Assumptions!$C:$E,MATCH("Gas reserve share of platform fee",Assumptions!$B:$B,0),MATCH(B65,Assumptions!$C$3:$E$3,0))</f>
      </c>
      <c r="K65">
        <f>H65-J65</f>
      </c>
    </row>
    <row r="66">
      <c r="A66">
        <v>29</v>
      </c>
      <c r="B66" t="inlineStr">
        <is>
          <t>Base</t>
        </is>
      </c>
      <c r="C66">
        <f>SUMIFS(Funnel!$J:$J,Funnel!$A:$A,A66,Funnel!$B:$B,B66)</f>
      </c>
      <c r="D66">
        <f>C66*INDEX(Assumptions!$C:$E,MATCH("Tickets per active user per month",Assumptions!$B:$B,0),MATCH(B66,Assumptions!$C$3:$E$3,0))</f>
      </c>
      <c r="E66">
        <f>INDEX(Assumptions!$C:$E,MATCH("Average ticket",Assumptions!$B:$B,0),MATCH(B66,Assumptions!$C$3:$E$3,0))</f>
      </c>
      <c r="F66">
        <f>D66*E66</f>
      </c>
      <c r="G66">
        <f>F66*INDEX(Assumptions!$C:$E,MATCH("Prize pool share",Assumptions!$B:$B,0),MATCH(B66,Assumptions!$C$3:$E$3,0))</f>
      </c>
      <c r="H66">
        <f>F66*INDEX(Assumptions!$C:$E,MATCH("Platform fee share",Assumptions!$B:$B,0),MATCH(B66,Assumptions!$C$3:$E$3,0))</f>
      </c>
      <c r="I66">
        <f>F66*INDEX(Assumptions!$C:$E,MATCH("Jackpot contribution share",Assumptions!$B:$B,0),MATCH(B66,Assumptions!$C$3:$E$3,0))</f>
      </c>
      <c r="J66">
        <f>H66*INDEX(Assumptions!$C:$E,MATCH("Gas reserve share of platform fee",Assumptions!$B:$B,0),MATCH(B66,Assumptions!$C$3:$E$3,0))</f>
      </c>
      <c r="K66">
        <f>H66-J66</f>
      </c>
    </row>
    <row r="67">
      <c r="A67">
        <v>30</v>
      </c>
      <c r="B67" t="inlineStr">
        <is>
          <t>Base</t>
        </is>
      </c>
      <c r="C67">
        <f>SUMIFS(Funnel!$J:$J,Funnel!$A:$A,A67,Funnel!$B:$B,B67)</f>
      </c>
      <c r="D67">
        <f>C67*INDEX(Assumptions!$C:$E,MATCH("Tickets per active user per month",Assumptions!$B:$B,0),MATCH(B67,Assumptions!$C$3:$E$3,0))</f>
      </c>
      <c r="E67">
        <f>INDEX(Assumptions!$C:$E,MATCH("Average ticket",Assumptions!$B:$B,0),MATCH(B67,Assumptions!$C$3:$E$3,0))</f>
      </c>
      <c r="F67">
        <f>D67*E67</f>
      </c>
      <c r="G67">
        <f>F67*INDEX(Assumptions!$C:$E,MATCH("Prize pool share",Assumptions!$B:$B,0),MATCH(B67,Assumptions!$C$3:$E$3,0))</f>
      </c>
      <c r="H67">
        <f>F67*INDEX(Assumptions!$C:$E,MATCH("Platform fee share",Assumptions!$B:$B,0),MATCH(B67,Assumptions!$C$3:$E$3,0))</f>
      </c>
      <c r="I67">
        <f>F67*INDEX(Assumptions!$C:$E,MATCH("Jackpot contribution share",Assumptions!$B:$B,0),MATCH(B67,Assumptions!$C$3:$E$3,0))</f>
      </c>
      <c r="J67">
        <f>H67*INDEX(Assumptions!$C:$E,MATCH("Gas reserve share of platform fee",Assumptions!$B:$B,0),MATCH(B67,Assumptions!$C$3:$E$3,0))</f>
      </c>
      <c r="K67">
        <f>H67-J67</f>
      </c>
    </row>
    <row r="68">
      <c r="A68">
        <v>31</v>
      </c>
      <c r="B68" t="inlineStr">
        <is>
          <t>Base</t>
        </is>
      </c>
      <c r="C68">
        <f>SUMIFS(Funnel!$J:$J,Funnel!$A:$A,A68,Funnel!$B:$B,B68)</f>
      </c>
      <c r="D68">
        <f>C68*INDEX(Assumptions!$C:$E,MATCH("Tickets per active user per month",Assumptions!$B:$B,0),MATCH(B68,Assumptions!$C$3:$E$3,0))</f>
      </c>
      <c r="E68">
        <f>INDEX(Assumptions!$C:$E,MATCH("Average ticket",Assumptions!$B:$B,0),MATCH(B68,Assumptions!$C$3:$E$3,0))</f>
      </c>
      <c r="F68">
        <f>D68*E68</f>
      </c>
      <c r="G68">
        <f>F68*INDEX(Assumptions!$C:$E,MATCH("Prize pool share",Assumptions!$B:$B,0),MATCH(B68,Assumptions!$C$3:$E$3,0))</f>
      </c>
      <c r="H68">
        <f>F68*INDEX(Assumptions!$C:$E,MATCH("Platform fee share",Assumptions!$B:$B,0),MATCH(B68,Assumptions!$C$3:$E$3,0))</f>
      </c>
      <c r="I68">
        <f>F68*INDEX(Assumptions!$C:$E,MATCH("Jackpot contribution share",Assumptions!$B:$B,0),MATCH(B68,Assumptions!$C$3:$E$3,0))</f>
      </c>
      <c r="J68">
        <f>H68*INDEX(Assumptions!$C:$E,MATCH("Gas reserve share of platform fee",Assumptions!$B:$B,0),MATCH(B68,Assumptions!$C$3:$E$3,0))</f>
      </c>
      <c r="K68">
        <f>H68-J68</f>
      </c>
    </row>
    <row r="69">
      <c r="A69">
        <v>32</v>
      </c>
      <c r="B69" t="inlineStr">
        <is>
          <t>Base</t>
        </is>
      </c>
      <c r="C69">
        <f>SUMIFS(Funnel!$J:$J,Funnel!$A:$A,A69,Funnel!$B:$B,B69)</f>
      </c>
      <c r="D69">
        <f>C69*INDEX(Assumptions!$C:$E,MATCH("Tickets per active user per month",Assumptions!$B:$B,0),MATCH(B69,Assumptions!$C$3:$E$3,0))</f>
      </c>
      <c r="E69">
        <f>INDEX(Assumptions!$C:$E,MATCH("Average ticket",Assumptions!$B:$B,0),MATCH(B69,Assumptions!$C$3:$E$3,0))</f>
      </c>
      <c r="F69">
        <f>D69*E69</f>
      </c>
      <c r="G69">
        <f>F69*INDEX(Assumptions!$C:$E,MATCH("Prize pool share",Assumptions!$B:$B,0),MATCH(B69,Assumptions!$C$3:$E$3,0))</f>
      </c>
      <c r="H69">
        <f>F69*INDEX(Assumptions!$C:$E,MATCH("Platform fee share",Assumptions!$B:$B,0),MATCH(B69,Assumptions!$C$3:$E$3,0))</f>
      </c>
      <c r="I69">
        <f>F69*INDEX(Assumptions!$C:$E,MATCH("Jackpot contribution share",Assumptions!$B:$B,0),MATCH(B69,Assumptions!$C$3:$E$3,0))</f>
      </c>
      <c r="J69">
        <f>H69*INDEX(Assumptions!$C:$E,MATCH("Gas reserve share of platform fee",Assumptions!$B:$B,0),MATCH(B69,Assumptions!$C$3:$E$3,0))</f>
      </c>
      <c r="K69">
        <f>H69-J69</f>
      </c>
    </row>
    <row r="70">
      <c r="A70">
        <v>33</v>
      </c>
      <c r="B70" t="inlineStr">
        <is>
          <t>Base</t>
        </is>
      </c>
      <c r="C70">
        <f>SUMIFS(Funnel!$J:$J,Funnel!$A:$A,A70,Funnel!$B:$B,B70)</f>
      </c>
      <c r="D70">
        <f>C70*INDEX(Assumptions!$C:$E,MATCH("Tickets per active user per month",Assumptions!$B:$B,0),MATCH(B70,Assumptions!$C$3:$E$3,0))</f>
      </c>
      <c r="E70">
        <f>INDEX(Assumptions!$C:$E,MATCH("Average ticket",Assumptions!$B:$B,0),MATCH(B70,Assumptions!$C$3:$E$3,0))</f>
      </c>
      <c r="F70">
        <f>D70*E70</f>
      </c>
      <c r="G70">
        <f>F70*INDEX(Assumptions!$C:$E,MATCH("Prize pool share",Assumptions!$B:$B,0),MATCH(B70,Assumptions!$C$3:$E$3,0))</f>
      </c>
      <c r="H70">
        <f>F70*INDEX(Assumptions!$C:$E,MATCH("Platform fee share",Assumptions!$B:$B,0),MATCH(B70,Assumptions!$C$3:$E$3,0))</f>
      </c>
      <c r="I70">
        <f>F70*INDEX(Assumptions!$C:$E,MATCH("Jackpot contribution share",Assumptions!$B:$B,0),MATCH(B70,Assumptions!$C$3:$E$3,0))</f>
      </c>
      <c r="J70">
        <f>H70*INDEX(Assumptions!$C:$E,MATCH("Gas reserve share of platform fee",Assumptions!$B:$B,0),MATCH(B70,Assumptions!$C$3:$E$3,0))</f>
      </c>
      <c r="K70">
        <f>H70-J70</f>
      </c>
    </row>
    <row r="71">
      <c r="A71">
        <v>34</v>
      </c>
      <c r="B71" t="inlineStr">
        <is>
          <t>Base</t>
        </is>
      </c>
      <c r="C71">
        <f>SUMIFS(Funnel!$J:$J,Funnel!$A:$A,A71,Funnel!$B:$B,B71)</f>
      </c>
      <c r="D71">
        <f>C71*INDEX(Assumptions!$C:$E,MATCH("Tickets per active user per month",Assumptions!$B:$B,0),MATCH(B71,Assumptions!$C$3:$E$3,0))</f>
      </c>
      <c r="E71">
        <f>INDEX(Assumptions!$C:$E,MATCH("Average ticket",Assumptions!$B:$B,0),MATCH(B71,Assumptions!$C$3:$E$3,0))</f>
      </c>
      <c r="F71">
        <f>D71*E71</f>
      </c>
      <c r="G71">
        <f>F71*INDEX(Assumptions!$C:$E,MATCH("Prize pool share",Assumptions!$B:$B,0),MATCH(B71,Assumptions!$C$3:$E$3,0))</f>
      </c>
      <c r="H71">
        <f>F71*INDEX(Assumptions!$C:$E,MATCH("Platform fee share",Assumptions!$B:$B,0),MATCH(B71,Assumptions!$C$3:$E$3,0))</f>
      </c>
      <c r="I71">
        <f>F71*INDEX(Assumptions!$C:$E,MATCH("Jackpot contribution share",Assumptions!$B:$B,0),MATCH(B71,Assumptions!$C$3:$E$3,0))</f>
      </c>
      <c r="J71">
        <f>H71*INDEX(Assumptions!$C:$E,MATCH("Gas reserve share of platform fee",Assumptions!$B:$B,0),MATCH(B71,Assumptions!$C$3:$E$3,0))</f>
      </c>
      <c r="K71">
        <f>H71-J71</f>
      </c>
    </row>
    <row r="72">
      <c r="A72">
        <v>35</v>
      </c>
      <c r="B72" t="inlineStr">
        <is>
          <t>Base</t>
        </is>
      </c>
      <c r="C72">
        <f>SUMIFS(Funnel!$J:$J,Funnel!$A:$A,A72,Funnel!$B:$B,B72)</f>
      </c>
      <c r="D72">
        <f>C72*INDEX(Assumptions!$C:$E,MATCH("Tickets per active user per month",Assumptions!$B:$B,0),MATCH(B72,Assumptions!$C$3:$E$3,0))</f>
      </c>
      <c r="E72">
        <f>INDEX(Assumptions!$C:$E,MATCH("Average ticket",Assumptions!$B:$B,0),MATCH(B72,Assumptions!$C$3:$E$3,0))</f>
      </c>
      <c r="F72">
        <f>D72*E72</f>
      </c>
      <c r="G72">
        <f>F72*INDEX(Assumptions!$C:$E,MATCH("Prize pool share",Assumptions!$B:$B,0),MATCH(B72,Assumptions!$C$3:$E$3,0))</f>
      </c>
      <c r="H72">
        <f>F72*INDEX(Assumptions!$C:$E,MATCH("Platform fee share",Assumptions!$B:$B,0),MATCH(B72,Assumptions!$C$3:$E$3,0))</f>
      </c>
      <c r="I72">
        <f>F72*INDEX(Assumptions!$C:$E,MATCH("Jackpot contribution share",Assumptions!$B:$B,0),MATCH(B72,Assumptions!$C$3:$E$3,0))</f>
      </c>
      <c r="J72">
        <f>H72*INDEX(Assumptions!$C:$E,MATCH("Gas reserve share of platform fee",Assumptions!$B:$B,0),MATCH(B72,Assumptions!$C$3:$E$3,0))</f>
      </c>
      <c r="K72">
        <f>H72-J72</f>
      </c>
    </row>
    <row r="73">
      <c r="A73">
        <v>36</v>
      </c>
      <c r="B73" t="inlineStr">
        <is>
          <t>Base</t>
        </is>
      </c>
      <c r="C73">
        <f>SUMIFS(Funnel!$J:$J,Funnel!$A:$A,A73,Funnel!$B:$B,B73)</f>
      </c>
      <c r="D73">
        <f>C73*INDEX(Assumptions!$C:$E,MATCH("Tickets per active user per month",Assumptions!$B:$B,0),MATCH(B73,Assumptions!$C$3:$E$3,0))</f>
      </c>
      <c r="E73">
        <f>INDEX(Assumptions!$C:$E,MATCH("Average ticket",Assumptions!$B:$B,0),MATCH(B73,Assumptions!$C$3:$E$3,0))</f>
      </c>
      <c r="F73">
        <f>D73*E73</f>
      </c>
      <c r="G73">
        <f>F73*INDEX(Assumptions!$C:$E,MATCH("Prize pool share",Assumptions!$B:$B,0),MATCH(B73,Assumptions!$C$3:$E$3,0))</f>
      </c>
      <c r="H73">
        <f>F73*INDEX(Assumptions!$C:$E,MATCH("Platform fee share",Assumptions!$B:$B,0),MATCH(B73,Assumptions!$C$3:$E$3,0))</f>
      </c>
      <c r="I73">
        <f>F73*INDEX(Assumptions!$C:$E,MATCH("Jackpot contribution share",Assumptions!$B:$B,0),MATCH(B73,Assumptions!$C$3:$E$3,0))</f>
      </c>
      <c r="J73">
        <f>H73*INDEX(Assumptions!$C:$E,MATCH("Gas reserve share of platform fee",Assumptions!$B:$B,0),MATCH(B73,Assumptions!$C$3:$E$3,0))</f>
      </c>
      <c r="K73">
        <f>H73-J73</f>
      </c>
    </row>
    <row r="74">
      <c r="A74">
        <v>1</v>
      </c>
      <c r="B74" t="inlineStr">
        <is>
          <t>Upside</t>
        </is>
      </c>
      <c r="C74">
        <f>SUMIFS(Funnel!$J:$J,Funnel!$A:$A,A74,Funnel!$B:$B,B74)</f>
      </c>
      <c r="D74">
        <f>C74*INDEX(Assumptions!$C:$E,MATCH("Tickets per active user per month",Assumptions!$B:$B,0),MATCH(B74,Assumptions!$C$3:$E$3,0))</f>
      </c>
      <c r="E74">
        <f>INDEX(Assumptions!$C:$E,MATCH("Average ticket",Assumptions!$B:$B,0),MATCH(B74,Assumptions!$C$3:$E$3,0))</f>
      </c>
      <c r="F74">
        <f>D74*E74</f>
      </c>
      <c r="G74">
        <f>F74*INDEX(Assumptions!$C:$E,MATCH("Prize pool share",Assumptions!$B:$B,0),MATCH(B74,Assumptions!$C$3:$E$3,0))</f>
      </c>
      <c r="H74">
        <f>F74*INDEX(Assumptions!$C:$E,MATCH("Platform fee share",Assumptions!$B:$B,0),MATCH(B74,Assumptions!$C$3:$E$3,0))</f>
      </c>
      <c r="I74">
        <f>F74*INDEX(Assumptions!$C:$E,MATCH("Jackpot contribution share",Assumptions!$B:$B,0),MATCH(B74,Assumptions!$C$3:$E$3,0))</f>
      </c>
      <c r="J74">
        <f>H74*INDEX(Assumptions!$C:$E,MATCH("Gas reserve share of platform fee",Assumptions!$B:$B,0),MATCH(B74,Assumptions!$C$3:$E$3,0))</f>
      </c>
      <c r="K74">
        <f>H74-J74</f>
      </c>
    </row>
    <row r="75">
      <c r="A75">
        <v>2</v>
      </c>
      <c r="B75" t="inlineStr">
        <is>
          <t>Upside</t>
        </is>
      </c>
      <c r="C75">
        <f>SUMIFS(Funnel!$J:$J,Funnel!$A:$A,A75,Funnel!$B:$B,B75)</f>
      </c>
      <c r="D75">
        <f>C75*INDEX(Assumptions!$C:$E,MATCH("Tickets per active user per month",Assumptions!$B:$B,0),MATCH(B75,Assumptions!$C$3:$E$3,0))</f>
      </c>
      <c r="E75">
        <f>INDEX(Assumptions!$C:$E,MATCH("Average ticket",Assumptions!$B:$B,0),MATCH(B75,Assumptions!$C$3:$E$3,0))</f>
      </c>
      <c r="F75">
        <f>D75*E75</f>
      </c>
      <c r="G75">
        <f>F75*INDEX(Assumptions!$C:$E,MATCH("Prize pool share",Assumptions!$B:$B,0),MATCH(B75,Assumptions!$C$3:$E$3,0))</f>
      </c>
      <c r="H75">
        <f>F75*INDEX(Assumptions!$C:$E,MATCH("Platform fee share",Assumptions!$B:$B,0),MATCH(B75,Assumptions!$C$3:$E$3,0))</f>
      </c>
      <c r="I75">
        <f>F75*INDEX(Assumptions!$C:$E,MATCH("Jackpot contribution share",Assumptions!$B:$B,0),MATCH(B75,Assumptions!$C$3:$E$3,0))</f>
      </c>
      <c r="J75">
        <f>H75*INDEX(Assumptions!$C:$E,MATCH("Gas reserve share of platform fee",Assumptions!$B:$B,0),MATCH(B75,Assumptions!$C$3:$E$3,0))</f>
      </c>
      <c r="K75">
        <f>H75-J75</f>
      </c>
    </row>
    <row r="76">
      <c r="A76">
        <v>3</v>
      </c>
      <c r="B76" t="inlineStr">
        <is>
          <t>Upside</t>
        </is>
      </c>
      <c r="C76">
        <f>SUMIFS(Funnel!$J:$J,Funnel!$A:$A,A76,Funnel!$B:$B,B76)</f>
      </c>
      <c r="D76">
        <f>C76*INDEX(Assumptions!$C:$E,MATCH("Tickets per active user per month",Assumptions!$B:$B,0),MATCH(B76,Assumptions!$C$3:$E$3,0))</f>
      </c>
      <c r="E76">
        <f>INDEX(Assumptions!$C:$E,MATCH("Average ticket",Assumptions!$B:$B,0),MATCH(B76,Assumptions!$C$3:$E$3,0))</f>
      </c>
      <c r="F76">
        <f>D76*E76</f>
      </c>
      <c r="G76">
        <f>F76*INDEX(Assumptions!$C:$E,MATCH("Prize pool share",Assumptions!$B:$B,0),MATCH(B76,Assumptions!$C$3:$E$3,0))</f>
      </c>
      <c r="H76">
        <f>F76*INDEX(Assumptions!$C:$E,MATCH("Platform fee share",Assumptions!$B:$B,0),MATCH(B76,Assumptions!$C$3:$E$3,0))</f>
      </c>
      <c r="I76">
        <f>F76*INDEX(Assumptions!$C:$E,MATCH("Jackpot contribution share",Assumptions!$B:$B,0),MATCH(B76,Assumptions!$C$3:$E$3,0))</f>
      </c>
      <c r="J76">
        <f>H76*INDEX(Assumptions!$C:$E,MATCH("Gas reserve share of platform fee",Assumptions!$B:$B,0),MATCH(B76,Assumptions!$C$3:$E$3,0))</f>
      </c>
      <c r="K76">
        <f>H76-J76</f>
      </c>
    </row>
    <row r="77">
      <c r="A77">
        <v>4</v>
      </c>
      <c r="B77" t="inlineStr">
        <is>
          <t>Upside</t>
        </is>
      </c>
      <c r="C77">
        <f>SUMIFS(Funnel!$J:$J,Funnel!$A:$A,A77,Funnel!$B:$B,B77)</f>
      </c>
      <c r="D77">
        <f>C77*INDEX(Assumptions!$C:$E,MATCH("Tickets per active user per month",Assumptions!$B:$B,0),MATCH(B77,Assumptions!$C$3:$E$3,0))</f>
      </c>
      <c r="E77">
        <f>INDEX(Assumptions!$C:$E,MATCH("Average ticket",Assumptions!$B:$B,0),MATCH(B77,Assumptions!$C$3:$E$3,0))</f>
      </c>
      <c r="F77">
        <f>D77*E77</f>
      </c>
      <c r="G77">
        <f>F77*INDEX(Assumptions!$C:$E,MATCH("Prize pool share",Assumptions!$B:$B,0),MATCH(B77,Assumptions!$C$3:$E$3,0))</f>
      </c>
      <c r="H77">
        <f>F77*INDEX(Assumptions!$C:$E,MATCH("Platform fee share",Assumptions!$B:$B,0),MATCH(B77,Assumptions!$C$3:$E$3,0))</f>
      </c>
      <c r="I77">
        <f>F77*INDEX(Assumptions!$C:$E,MATCH("Jackpot contribution share",Assumptions!$B:$B,0),MATCH(B77,Assumptions!$C$3:$E$3,0))</f>
      </c>
      <c r="J77">
        <f>H77*INDEX(Assumptions!$C:$E,MATCH("Gas reserve share of platform fee",Assumptions!$B:$B,0),MATCH(B77,Assumptions!$C$3:$E$3,0))</f>
      </c>
      <c r="K77">
        <f>H77-J77</f>
      </c>
    </row>
    <row r="78">
      <c r="A78">
        <v>5</v>
      </c>
      <c r="B78" t="inlineStr">
        <is>
          <t>Upside</t>
        </is>
      </c>
      <c r="C78">
        <f>SUMIFS(Funnel!$J:$J,Funnel!$A:$A,A78,Funnel!$B:$B,B78)</f>
      </c>
      <c r="D78">
        <f>C78*INDEX(Assumptions!$C:$E,MATCH("Tickets per active user per month",Assumptions!$B:$B,0),MATCH(B78,Assumptions!$C$3:$E$3,0))</f>
      </c>
      <c r="E78">
        <f>INDEX(Assumptions!$C:$E,MATCH("Average ticket",Assumptions!$B:$B,0),MATCH(B78,Assumptions!$C$3:$E$3,0))</f>
      </c>
      <c r="F78">
        <f>D78*E78</f>
      </c>
      <c r="G78">
        <f>F78*INDEX(Assumptions!$C:$E,MATCH("Prize pool share",Assumptions!$B:$B,0),MATCH(B78,Assumptions!$C$3:$E$3,0))</f>
      </c>
      <c r="H78">
        <f>F78*INDEX(Assumptions!$C:$E,MATCH("Platform fee share",Assumptions!$B:$B,0),MATCH(B78,Assumptions!$C$3:$E$3,0))</f>
      </c>
      <c r="I78">
        <f>F78*INDEX(Assumptions!$C:$E,MATCH("Jackpot contribution share",Assumptions!$B:$B,0),MATCH(B78,Assumptions!$C$3:$E$3,0))</f>
      </c>
      <c r="J78">
        <f>H78*INDEX(Assumptions!$C:$E,MATCH("Gas reserve share of platform fee",Assumptions!$B:$B,0),MATCH(B78,Assumptions!$C$3:$E$3,0))</f>
      </c>
      <c r="K78">
        <f>H78-J78</f>
      </c>
    </row>
    <row r="79">
      <c r="A79">
        <v>6</v>
      </c>
      <c r="B79" t="inlineStr">
        <is>
          <t>Upside</t>
        </is>
      </c>
      <c r="C79">
        <f>SUMIFS(Funnel!$J:$J,Funnel!$A:$A,A79,Funnel!$B:$B,B79)</f>
      </c>
      <c r="D79">
        <f>C79*INDEX(Assumptions!$C:$E,MATCH("Tickets per active user per month",Assumptions!$B:$B,0),MATCH(B79,Assumptions!$C$3:$E$3,0))</f>
      </c>
      <c r="E79">
        <f>INDEX(Assumptions!$C:$E,MATCH("Average ticket",Assumptions!$B:$B,0),MATCH(B79,Assumptions!$C$3:$E$3,0))</f>
      </c>
      <c r="F79">
        <f>D79*E79</f>
      </c>
      <c r="G79">
        <f>F79*INDEX(Assumptions!$C:$E,MATCH("Prize pool share",Assumptions!$B:$B,0),MATCH(B79,Assumptions!$C$3:$E$3,0))</f>
      </c>
      <c r="H79">
        <f>F79*INDEX(Assumptions!$C:$E,MATCH("Platform fee share",Assumptions!$B:$B,0),MATCH(B79,Assumptions!$C$3:$E$3,0))</f>
      </c>
      <c r="I79">
        <f>F79*INDEX(Assumptions!$C:$E,MATCH("Jackpot contribution share",Assumptions!$B:$B,0),MATCH(B79,Assumptions!$C$3:$E$3,0))</f>
      </c>
      <c r="J79">
        <f>H79*INDEX(Assumptions!$C:$E,MATCH("Gas reserve share of platform fee",Assumptions!$B:$B,0),MATCH(B79,Assumptions!$C$3:$E$3,0))</f>
      </c>
      <c r="K79">
        <f>H79-J79</f>
      </c>
    </row>
    <row r="80">
      <c r="A80">
        <v>7</v>
      </c>
      <c r="B80" t="inlineStr">
        <is>
          <t>Upside</t>
        </is>
      </c>
      <c r="C80">
        <f>SUMIFS(Funnel!$J:$J,Funnel!$A:$A,A80,Funnel!$B:$B,B80)</f>
      </c>
      <c r="D80">
        <f>C80*INDEX(Assumptions!$C:$E,MATCH("Tickets per active user per month",Assumptions!$B:$B,0),MATCH(B80,Assumptions!$C$3:$E$3,0))</f>
      </c>
      <c r="E80">
        <f>INDEX(Assumptions!$C:$E,MATCH("Average ticket",Assumptions!$B:$B,0),MATCH(B80,Assumptions!$C$3:$E$3,0))</f>
      </c>
      <c r="F80">
        <f>D80*E80</f>
      </c>
      <c r="G80">
        <f>F80*INDEX(Assumptions!$C:$E,MATCH("Prize pool share",Assumptions!$B:$B,0),MATCH(B80,Assumptions!$C$3:$E$3,0))</f>
      </c>
      <c r="H80">
        <f>F80*INDEX(Assumptions!$C:$E,MATCH("Platform fee share",Assumptions!$B:$B,0),MATCH(B80,Assumptions!$C$3:$E$3,0))</f>
      </c>
      <c r="I80">
        <f>F80*INDEX(Assumptions!$C:$E,MATCH("Jackpot contribution share",Assumptions!$B:$B,0),MATCH(B80,Assumptions!$C$3:$E$3,0))</f>
      </c>
      <c r="J80">
        <f>H80*INDEX(Assumptions!$C:$E,MATCH("Gas reserve share of platform fee",Assumptions!$B:$B,0),MATCH(B80,Assumptions!$C$3:$E$3,0))</f>
      </c>
      <c r="K80">
        <f>H80-J80</f>
      </c>
    </row>
    <row r="81">
      <c r="A81">
        <v>8</v>
      </c>
      <c r="B81" t="inlineStr">
        <is>
          <t>Upside</t>
        </is>
      </c>
      <c r="C81">
        <f>SUMIFS(Funnel!$J:$J,Funnel!$A:$A,A81,Funnel!$B:$B,B81)</f>
      </c>
      <c r="D81">
        <f>C81*INDEX(Assumptions!$C:$E,MATCH("Tickets per active user per month",Assumptions!$B:$B,0),MATCH(B81,Assumptions!$C$3:$E$3,0))</f>
      </c>
      <c r="E81">
        <f>INDEX(Assumptions!$C:$E,MATCH("Average ticket",Assumptions!$B:$B,0),MATCH(B81,Assumptions!$C$3:$E$3,0))</f>
      </c>
      <c r="F81">
        <f>D81*E81</f>
      </c>
      <c r="G81">
        <f>F81*INDEX(Assumptions!$C:$E,MATCH("Prize pool share",Assumptions!$B:$B,0),MATCH(B81,Assumptions!$C$3:$E$3,0))</f>
      </c>
      <c r="H81">
        <f>F81*INDEX(Assumptions!$C:$E,MATCH("Platform fee share",Assumptions!$B:$B,0),MATCH(B81,Assumptions!$C$3:$E$3,0))</f>
      </c>
      <c r="I81">
        <f>F81*INDEX(Assumptions!$C:$E,MATCH("Jackpot contribution share",Assumptions!$B:$B,0),MATCH(B81,Assumptions!$C$3:$E$3,0))</f>
      </c>
      <c r="J81">
        <f>H81*INDEX(Assumptions!$C:$E,MATCH("Gas reserve share of platform fee",Assumptions!$B:$B,0),MATCH(B81,Assumptions!$C$3:$E$3,0))</f>
      </c>
      <c r="K81">
        <f>H81-J81</f>
      </c>
    </row>
    <row r="82">
      <c r="A82">
        <v>9</v>
      </c>
      <c r="B82" t="inlineStr">
        <is>
          <t>Upside</t>
        </is>
      </c>
      <c r="C82">
        <f>SUMIFS(Funnel!$J:$J,Funnel!$A:$A,A82,Funnel!$B:$B,B82)</f>
      </c>
      <c r="D82">
        <f>C82*INDEX(Assumptions!$C:$E,MATCH("Tickets per active user per month",Assumptions!$B:$B,0),MATCH(B82,Assumptions!$C$3:$E$3,0))</f>
      </c>
      <c r="E82">
        <f>INDEX(Assumptions!$C:$E,MATCH("Average ticket",Assumptions!$B:$B,0),MATCH(B82,Assumptions!$C$3:$E$3,0))</f>
      </c>
      <c r="F82">
        <f>D82*E82</f>
      </c>
      <c r="G82">
        <f>F82*INDEX(Assumptions!$C:$E,MATCH("Prize pool share",Assumptions!$B:$B,0),MATCH(B82,Assumptions!$C$3:$E$3,0))</f>
      </c>
      <c r="H82">
        <f>F82*INDEX(Assumptions!$C:$E,MATCH("Platform fee share",Assumptions!$B:$B,0),MATCH(B82,Assumptions!$C$3:$E$3,0))</f>
      </c>
      <c r="I82">
        <f>F82*INDEX(Assumptions!$C:$E,MATCH("Jackpot contribution share",Assumptions!$B:$B,0),MATCH(B82,Assumptions!$C$3:$E$3,0))</f>
      </c>
      <c r="J82">
        <f>H82*INDEX(Assumptions!$C:$E,MATCH("Gas reserve share of platform fee",Assumptions!$B:$B,0),MATCH(B82,Assumptions!$C$3:$E$3,0))</f>
      </c>
      <c r="K82">
        <f>H82-J82</f>
      </c>
    </row>
    <row r="83">
      <c r="A83">
        <v>10</v>
      </c>
      <c r="B83" t="inlineStr">
        <is>
          <t>Upside</t>
        </is>
      </c>
      <c r="C83">
        <f>SUMIFS(Funnel!$J:$J,Funnel!$A:$A,A83,Funnel!$B:$B,B83)</f>
      </c>
      <c r="D83">
        <f>C83*INDEX(Assumptions!$C:$E,MATCH("Tickets per active user per month",Assumptions!$B:$B,0),MATCH(B83,Assumptions!$C$3:$E$3,0))</f>
      </c>
      <c r="E83">
        <f>INDEX(Assumptions!$C:$E,MATCH("Average ticket",Assumptions!$B:$B,0),MATCH(B83,Assumptions!$C$3:$E$3,0))</f>
      </c>
      <c r="F83">
        <f>D83*E83</f>
      </c>
      <c r="G83">
        <f>F83*INDEX(Assumptions!$C:$E,MATCH("Prize pool share",Assumptions!$B:$B,0),MATCH(B83,Assumptions!$C$3:$E$3,0))</f>
      </c>
      <c r="H83">
        <f>F83*INDEX(Assumptions!$C:$E,MATCH("Platform fee share",Assumptions!$B:$B,0),MATCH(B83,Assumptions!$C$3:$E$3,0))</f>
      </c>
      <c r="I83">
        <f>F83*INDEX(Assumptions!$C:$E,MATCH("Jackpot contribution share",Assumptions!$B:$B,0),MATCH(B83,Assumptions!$C$3:$E$3,0))</f>
      </c>
      <c r="J83">
        <f>H83*INDEX(Assumptions!$C:$E,MATCH("Gas reserve share of platform fee",Assumptions!$B:$B,0),MATCH(B83,Assumptions!$C$3:$E$3,0))</f>
      </c>
      <c r="K83">
        <f>H83-J83</f>
      </c>
    </row>
    <row r="84">
      <c r="A84">
        <v>11</v>
      </c>
      <c r="B84" t="inlineStr">
        <is>
          <t>Upside</t>
        </is>
      </c>
      <c r="C84">
        <f>SUMIFS(Funnel!$J:$J,Funnel!$A:$A,A84,Funnel!$B:$B,B84)</f>
      </c>
      <c r="D84">
        <f>C84*INDEX(Assumptions!$C:$E,MATCH("Tickets per active user per month",Assumptions!$B:$B,0),MATCH(B84,Assumptions!$C$3:$E$3,0))</f>
      </c>
      <c r="E84">
        <f>INDEX(Assumptions!$C:$E,MATCH("Average ticket",Assumptions!$B:$B,0),MATCH(B84,Assumptions!$C$3:$E$3,0))</f>
      </c>
      <c r="F84">
        <f>D84*E84</f>
      </c>
      <c r="G84">
        <f>F84*INDEX(Assumptions!$C:$E,MATCH("Prize pool share",Assumptions!$B:$B,0),MATCH(B84,Assumptions!$C$3:$E$3,0))</f>
      </c>
      <c r="H84">
        <f>F84*INDEX(Assumptions!$C:$E,MATCH("Platform fee share",Assumptions!$B:$B,0),MATCH(B84,Assumptions!$C$3:$E$3,0))</f>
      </c>
      <c r="I84">
        <f>F84*INDEX(Assumptions!$C:$E,MATCH("Jackpot contribution share",Assumptions!$B:$B,0),MATCH(B84,Assumptions!$C$3:$E$3,0))</f>
      </c>
      <c r="J84">
        <f>H84*INDEX(Assumptions!$C:$E,MATCH("Gas reserve share of platform fee",Assumptions!$B:$B,0),MATCH(B84,Assumptions!$C$3:$E$3,0))</f>
      </c>
      <c r="K84">
        <f>H84-J84</f>
      </c>
    </row>
    <row r="85">
      <c r="A85">
        <v>12</v>
      </c>
      <c r="B85" t="inlineStr">
        <is>
          <t>Upside</t>
        </is>
      </c>
      <c r="C85">
        <f>SUMIFS(Funnel!$J:$J,Funnel!$A:$A,A85,Funnel!$B:$B,B85)</f>
      </c>
      <c r="D85">
        <f>C85*INDEX(Assumptions!$C:$E,MATCH("Tickets per active user per month",Assumptions!$B:$B,0),MATCH(B85,Assumptions!$C$3:$E$3,0))</f>
      </c>
      <c r="E85">
        <f>INDEX(Assumptions!$C:$E,MATCH("Average ticket",Assumptions!$B:$B,0),MATCH(B85,Assumptions!$C$3:$E$3,0))</f>
      </c>
      <c r="F85">
        <f>D85*E85</f>
      </c>
      <c r="G85">
        <f>F85*INDEX(Assumptions!$C:$E,MATCH("Prize pool share",Assumptions!$B:$B,0),MATCH(B85,Assumptions!$C$3:$E$3,0))</f>
      </c>
      <c r="H85">
        <f>F85*INDEX(Assumptions!$C:$E,MATCH("Platform fee share",Assumptions!$B:$B,0),MATCH(B85,Assumptions!$C$3:$E$3,0))</f>
      </c>
      <c r="I85">
        <f>F85*INDEX(Assumptions!$C:$E,MATCH("Jackpot contribution share",Assumptions!$B:$B,0),MATCH(B85,Assumptions!$C$3:$E$3,0))</f>
      </c>
      <c r="J85">
        <f>H85*INDEX(Assumptions!$C:$E,MATCH("Gas reserve share of platform fee",Assumptions!$B:$B,0),MATCH(B85,Assumptions!$C$3:$E$3,0))</f>
      </c>
      <c r="K85">
        <f>H85-J85</f>
      </c>
    </row>
    <row r="86">
      <c r="A86">
        <v>13</v>
      </c>
      <c r="B86" t="inlineStr">
        <is>
          <t>Upside</t>
        </is>
      </c>
      <c r="C86">
        <f>SUMIFS(Funnel!$J:$J,Funnel!$A:$A,A86,Funnel!$B:$B,B86)</f>
      </c>
      <c r="D86">
        <f>C86*INDEX(Assumptions!$C:$E,MATCH("Tickets per active user per month",Assumptions!$B:$B,0),MATCH(B86,Assumptions!$C$3:$E$3,0))</f>
      </c>
      <c r="E86">
        <f>INDEX(Assumptions!$C:$E,MATCH("Average ticket",Assumptions!$B:$B,0),MATCH(B86,Assumptions!$C$3:$E$3,0))</f>
      </c>
      <c r="F86">
        <f>D86*E86</f>
      </c>
      <c r="G86">
        <f>F86*INDEX(Assumptions!$C:$E,MATCH("Prize pool share",Assumptions!$B:$B,0),MATCH(B86,Assumptions!$C$3:$E$3,0))</f>
      </c>
      <c r="H86">
        <f>F86*INDEX(Assumptions!$C:$E,MATCH("Platform fee share",Assumptions!$B:$B,0),MATCH(B86,Assumptions!$C$3:$E$3,0))</f>
      </c>
      <c r="I86">
        <f>F86*INDEX(Assumptions!$C:$E,MATCH("Jackpot contribution share",Assumptions!$B:$B,0),MATCH(B86,Assumptions!$C$3:$E$3,0))</f>
      </c>
      <c r="J86">
        <f>H86*INDEX(Assumptions!$C:$E,MATCH("Gas reserve share of platform fee",Assumptions!$B:$B,0),MATCH(B86,Assumptions!$C$3:$E$3,0))</f>
      </c>
      <c r="K86">
        <f>H86-J86</f>
      </c>
    </row>
    <row r="87">
      <c r="A87">
        <v>14</v>
      </c>
      <c r="B87" t="inlineStr">
        <is>
          <t>Upside</t>
        </is>
      </c>
      <c r="C87">
        <f>SUMIFS(Funnel!$J:$J,Funnel!$A:$A,A87,Funnel!$B:$B,B87)</f>
      </c>
      <c r="D87">
        <f>C87*INDEX(Assumptions!$C:$E,MATCH("Tickets per active user per month",Assumptions!$B:$B,0),MATCH(B87,Assumptions!$C$3:$E$3,0))</f>
      </c>
      <c r="E87">
        <f>INDEX(Assumptions!$C:$E,MATCH("Average ticket",Assumptions!$B:$B,0),MATCH(B87,Assumptions!$C$3:$E$3,0))</f>
      </c>
      <c r="F87">
        <f>D87*E87</f>
      </c>
      <c r="G87">
        <f>F87*INDEX(Assumptions!$C:$E,MATCH("Prize pool share",Assumptions!$B:$B,0),MATCH(B87,Assumptions!$C$3:$E$3,0))</f>
      </c>
      <c r="H87">
        <f>F87*INDEX(Assumptions!$C:$E,MATCH("Platform fee share",Assumptions!$B:$B,0),MATCH(B87,Assumptions!$C$3:$E$3,0))</f>
      </c>
      <c r="I87">
        <f>F87*INDEX(Assumptions!$C:$E,MATCH("Jackpot contribution share",Assumptions!$B:$B,0),MATCH(B87,Assumptions!$C$3:$E$3,0))</f>
      </c>
      <c r="J87">
        <f>H87*INDEX(Assumptions!$C:$E,MATCH("Gas reserve share of platform fee",Assumptions!$B:$B,0),MATCH(B87,Assumptions!$C$3:$E$3,0))</f>
      </c>
      <c r="K87">
        <f>H87-J87</f>
      </c>
    </row>
    <row r="88">
      <c r="A88">
        <v>15</v>
      </c>
      <c r="B88" t="inlineStr">
        <is>
          <t>Upside</t>
        </is>
      </c>
      <c r="C88">
        <f>SUMIFS(Funnel!$J:$J,Funnel!$A:$A,A88,Funnel!$B:$B,B88)</f>
      </c>
      <c r="D88">
        <f>C88*INDEX(Assumptions!$C:$E,MATCH("Tickets per active user per month",Assumptions!$B:$B,0),MATCH(B88,Assumptions!$C$3:$E$3,0))</f>
      </c>
      <c r="E88">
        <f>INDEX(Assumptions!$C:$E,MATCH("Average ticket",Assumptions!$B:$B,0),MATCH(B88,Assumptions!$C$3:$E$3,0))</f>
      </c>
      <c r="F88">
        <f>D88*E88</f>
      </c>
      <c r="G88">
        <f>F88*INDEX(Assumptions!$C:$E,MATCH("Prize pool share",Assumptions!$B:$B,0),MATCH(B88,Assumptions!$C$3:$E$3,0))</f>
      </c>
      <c r="H88">
        <f>F88*INDEX(Assumptions!$C:$E,MATCH("Platform fee share",Assumptions!$B:$B,0),MATCH(B88,Assumptions!$C$3:$E$3,0))</f>
      </c>
      <c r="I88">
        <f>F88*INDEX(Assumptions!$C:$E,MATCH("Jackpot contribution share",Assumptions!$B:$B,0),MATCH(B88,Assumptions!$C$3:$E$3,0))</f>
      </c>
      <c r="J88">
        <f>H88*INDEX(Assumptions!$C:$E,MATCH("Gas reserve share of platform fee",Assumptions!$B:$B,0),MATCH(B88,Assumptions!$C$3:$E$3,0))</f>
      </c>
      <c r="K88">
        <f>H88-J88</f>
      </c>
    </row>
    <row r="89">
      <c r="A89">
        <v>16</v>
      </c>
      <c r="B89" t="inlineStr">
        <is>
          <t>Upside</t>
        </is>
      </c>
      <c r="C89">
        <f>SUMIFS(Funnel!$J:$J,Funnel!$A:$A,A89,Funnel!$B:$B,B89)</f>
      </c>
      <c r="D89">
        <f>C89*INDEX(Assumptions!$C:$E,MATCH("Tickets per active user per month",Assumptions!$B:$B,0),MATCH(B89,Assumptions!$C$3:$E$3,0))</f>
      </c>
      <c r="E89">
        <f>INDEX(Assumptions!$C:$E,MATCH("Average ticket",Assumptions!$B:$B,0),MATCH(B89,Assumptions!$C$3:$E$3,0))</f>
      </c>
      <c r="F89">
        <f>D89*E89</f>
      </c>
      <c r="G89">
        <f>F89*INDEX(Assumptions!$C:$E,MATCH("Prize pool share",Assumptions!$B:$B,0),MATCH(B89,Assumptions!$C$3:$E$3,0))</f>
      </c>
      <c r="H89">
        <f>F89*INDEX(Assumptions!$C:$E,MATCH("Platform fee share",Assumptions!$B:$B,0),MATCH(B89,Assumptions!$C$3:$E$3,0))</f>
      </c>
      <c r="I89">
        <f>F89*INDEX(Assumptions!$C:$E,MATCH("Jackpot contribution share",Assumptions!$B:$B,0),MATCH(B89,Assumptions!$C$3:$E$3,0))</f>
      </c>
      <c r="J89">
        <f>H89*INDEX(Assumptions!$C:$E,MATCH("Gas reserve share of platform fee",Assumptions!$B:$B,0),MATCH(B89,Assumptions!$C$3:$E$3,0))</f>
      </c>
      <c r="K89">
        <f>H89-J89</f>
      </c>
    </row>
    <row r="90">
      <c r="A90">
        <v>17</v>
      </c>
      <c r="B90" t="inlineStr">
        <is>
          <t>Upside</t>
        </is>
      </c>
      <c r="C90">
        <f>SUMIFS(Funnel!$J:$J,Funnel!$A:$A,A90,Funnel!$B:$B,B90)</f>
      </c>
      <c r="D90">
        <f>C90*INDEX(Assumptions!$C:$E,MATCH("Tickets per active user per month",Assumptions!$B:$B,0),MATCH(B90,Assumptions!$C$3:$E$3,0))</f>
      </c>
      <c r="E90">
        <f>INDEX(Assumptions!$C:$E,MATCH("Average ticket",Assumptions!$B:$B,0),MATCH(B90,Assumptions!$C$3:$E$3,0))</f>
      </c>
      <c r="F90">
        <f>D90*E90</f>
      </c>
      <c r="G90">
        <f>F90*INDEX(Assumptions!$C:$E,MATCH("Prize pool share",Assumptions!$B:$B,0),MATCH(B90,Assumptions!$C$3:$E$3,0))</f>
      </c>
      <c r="H90">
        <f>F90*INDEX(Assumptions!$C:$E,MATCH("Platform fee share",Assumptions!$B:$B,0),MATCH(B90,Assumptions!$C$3:$E$3,0))</f>
      </c>
      <c r="I90">
        <f>F90*INDEX(Assumptions!$C:$E,MATCH("Jackpot contribution share",Assumptions!$B:$B,0),MATCH(B90,Assumptions!$C$3:$E$3,0))</f>
      </c>
      <c r="J90">
        <f>H90*INDEX(Assumptions!$C:$E,MATCH("Gas reserve share of platform fee",Assumptions!$B:$B,0),MATCH(B90,Assumptions!$C$3:$E$3,0))</f>
      </c>
      <c r="K90">
        <f>H90-J90</f>
      </c>
    </row>
    <row r="91">
      <c r="A91">
        <v>18</v>
      </c>
      <c r="B91" t="inlineStr">
        <is>
          <t>Upside</t>
        </is>
      </c>
      <c r="C91">
        <f>SUMIFS(Funnel!$J:$J,Funnel!$A:$A,A91,Funnel!$B:$B,B91)</f>
      </c>
      <c r="D91">
        <f>C91*INDEX(Assumptions!$C:$E,MATCH("Tickets per active user per month",Assumptions!$B:$B,0),MATCH(B91,Assumptions!$C$3:$E$3,0))</f>
      </c>
      <c r="E91">
        <f>INDEX(Assumptions!$C:$E,MATCH("Average ticket",Assumptions!$B:$B,0),MATCH(B91,Assumptions!$C$3:$E$3,0))</f>
      </c>
      <c r="F91">
        <f>D91*E91</f>
      </c>
      <c r="G91">
        <f>F91*INDEX(Assumptions!$C:$E,MATCH("Prize pool share",Assumptions!$B:$B,0),MATCH(B91,Assumptions!$C$3:$E$3,0))</f>
      </c>
      <c r="H91">
        <f>F91*INDEX(Assumptions!$C:$E,MATCH("Platform fee share",Assumptions!$B:$B,0),MATCH(B91,Assumptions!$C$3:$E$3,0))</f>
      </c>
      <c r="I91">
        <f>F91*INDEX(Assumptions!$C:$E,MATCH("Jackpot contribution share",Assumptions!$B:$B,0),MATCH(B91,Assumptions!$C$3:$E$3,0))</f>
      </c>
      <c r="J91">
        <f>H91*INDEX(Assumptions!$C:$E,MATCH("Gas reserve share of platform fee",Assumptions!$B:$B,0),MATCH(B91,Assumptions!$C$3:$E$3,0))</f>
      </c>
      <c r="K91">
        <f>H91-J91</f>
      </c>
    </row>
    <row r="92">
      <c r="A92">
        <v>19</v>
      </c>
      <c r="B92" t="inlineStr">
        <is>
          <t>Upside</t>
        </is>
      </c>
      <c r="C92">
        <f>SUMIFS(Funnel!$J:$J,Funnel!$A:$A,A92,Funnel!$B:$B,B92)</f>
      </c>
      <c r="D92">
        <f>C92*INDEX(Assumptions!$C:$E,MATCH("Tickets per active user per month",Assumptions!$B:$B,0),MATCH(B92,Assumptions!$C$3:$E$3,0))</f>
      </c>
      <c r="E92">
        <f>INDEX(Assumptions!$C:$E,MATCH("Average ticket",Assumptions!$B:$B,0),MATCH(B92,Assumptions!$C$3:$E$3,0))</f>
      </c>
      <c r="F92">
        <f>D92*E92</f>
      </c>
      <c r="G92">
        <f>F92*INDEX(Assumptions!$C:$E,MATCH("Prize pool share",Assumptions!$B:$B,0),MATCH(B92,Assumptions!$C$3:$E$3,0))</f>
      </c>
      <c r="H92">
        <f>F92*INDEX(Assumptions!$C:$E,MATCH("Platform fee share",Assumptions!$B:$B,0),MATCH(B92,Assumptions!$C$3:$E$3,0))</f>
      </c>
      <c r="I92">
        <f>F92*INDEX(Assumptions!$C:$E,MATCH("Jackpot contribution share",Assumptions!$B:$B,0),MATCH(B92,Assumptions!$C$3:$E$3,0))</f>
      </c>
      <c r="J92">
        <f>H92*INDEX(Assumptions!$C:$E,MATCH("Gas reserve share of platform fee",Assumptions!$B:$B,0),MATCH(B92,Assumptions!$C$3:$E$3,0))</f>
      </c>
      <c r="K92">
        <f>H92-J92</f>
      </c>
    </row>
    <row r="93">
      <c r="A93">
        <v>20</v>
      </c>
      <c r="B93" t="inlineStr">
        <is>
          <t>Upside</t>
        </is>
      </c>
      <c r="C93">
        <f>SUMIFS(Funnel!$J:$J,Funnel!$A:$A,A93,Funnel!$B:$B,B93)</f>
      </c>
      <c r="D93">
        <f>C93*INDEX(Assumptions!$C:$E,MATCH("Tickets per active user per month",Assumptions!$B:$B,0),MATCH(B93,Assumptions!$C$3:$E$3,0))</f>
      </c>
      <c r="E93">
        <f>INDEX(Assumptions!$C:$E,MATCH("Average ticket",Assumptions!$B:$B,0),MATCH(B93,Assumptions!$C$3:$E$3,0))</f>
      </c>
      <c r="F93">
        <f>D93*E93</f>
      </c>
      <c r="G93">
        <f>F93*INDEX(Assumptions!$C:$E,MATCH("Prize pool share",Assumptions!$B:$B,0),MATCH(B93,Assumptions!$C$3:$E$3,0))</f>
      </c>
      <c r="H93">
        <f>F93*INDEX(Assumptions!$C:$E,MATCH("Platform fee share",Assumptions!$B:$B,0),MATCH(B93,Assumptions!$C$3:$E$3,0))</f>
      </c>
      <c r="I93">
        <f>F93*INDEX(Assumptions!$C:$E,MATCH("Jackpot contribution share",Assumptions!$B:$B,0),MATCH(B93,Assumptions!$C$3:$E$3,0))</f>
      </c>
      <c r="J93">
        <f>H93*INDEX(Assumptions!$C:$E,MATCH("Gas reserve share of platform fee",Assumptions!$B:$B,0),MATCH(B93,Assumptions!$C$3:$E$3,0))</f>
      </c>
      <c r="K93">
        <f>H93-J93</f>
      </c>
    </row>
    <row r="94">
      <c r="A94">
        <v>21</v>
      </c>
      <c r="B94" t="inlineStr">
        <is>
          <t>Upside</t>
        </is>
      </c>
      <c r="C94">
        <f>SUMIFS(Funnel!$J:$J,Funnel!$A:$A,A94,Funnel!$B:$B,B94)</f>
      </c>
      <c r="D94">
        <f>C94*INDEX(Assumptions!$C:$E,MATCH("Tickets per active user per month",Assumptions!$B:$B,0),MATCH(B94,Assumptions!$C$3:$E$3,0))</f>
      </c>
      <c r="E94">
        <f>INDEX(Assumptions!$C:$E,MATCH("Average ticket",Assumptions!$B:$B,0),MATCH(B94,Assumptions!$C$3:$E$3,0))</f>
      </c>
      <c r="F94">
        <f>D94*E94</f>
      </c>
      <c r="G94">
        <f>F94*INDEX(Assumptions!$C:$E,MATCH("Prize pool share",Assumptions!$B:$B,0),MATCH(B94,Assumptions!$C$3:$E$3,0))</f>
      </c>
      <c r="H94">
        <f>F94*INDEX(Assumptions!$C:$E,MATCH("Platform fee share",Assumptions!$B:$B,0),MATCH(B94,Assumptions!$C$3:$E$3,0))</f>
      </c>
      <c r="I94">
        <f>F94*INDEX(Assumptions!$C:$E,MATCH("Jackpot contribution share",Assumptions!$B:$B,0),MATCH(B94,Assumptions!$C$3:$E$3,0))</f>
      </c>
      <c r="J94">
        <f>H94*INDEX(Assumptions!$C:$E,MATCH("Gas reserve share of platform fee",Assumptions!$B:$B,0),MATCH(B94,Assumptions!$C$3:$E$3,0))</f>
      </c>
      <c r="K94">
        <f>H94-J94</f>
      </c>
    </row>
    <row r="95">
      <c r="A95">
        <v>22</v>
      </c>
      <c r="B95" t="inlineStr">
        <is>
          <t>Upside</t>
        </is>
      </c>
      <c r="C95">
        <f>SUMIFS(Funnel!$J:$J,Funnel!$A:$A,A95,Funnel!$B:$B,B95)</f>
      </c>
      <c r="D95">
        <f>C95*INDEX(Assumptions!$C:$E,MATCH("Tickets per active user per month",Assumptions!$B:$B,0),MATCH(B95,Assumptions!$C$3:$E$3,0))</f>
      </c>
      <c r="E95">
        <f>INDEX(Assumptions!$C:$E,MATCH("Average ticket",Assumptions!$B:$B,0),MATCH(B95,Assumptions!$C$3:$E$3,0))</f>
      </c>
      <c r="F95">
        <f>D95*E95</f>
      </c>
      <c r="G95">
        <f>F95*INDEX(Assumptions!$C:$E,MATCH("Prize pool share",Assumptions!$B:$B,0),MATCH(B95,Assumptions!$C$3:$E$3,0))</f>
      </c>
      <c r="H95">
        <f>F95*INDEX(Assumptions!$C:$E,MATCH("Platform fee share",Assumptions!$B:$B,0),MATCH(B95,Assumptions!$C$3:$E$3,0))</f>
      </c>
      <c r="I95">
        <f>F95*INDEX(Assumptions!$C:$E,MATCH("Jackpot contribution share",Assumptions!$B:$B,0),MATCH(B95,Assumptions!$C$3:$E$3,0))</f>
      </c>
      <c r="J95">
        <f>H95*INDEX(Assumptions!$C:$E,MATCH("Gas reserve share of platform fee",Assumptions!$B:$B,0),MATCH(B95,Assumptions!$C$3:$E$3,0))</f>
      </c>
      <c r="K95">
        <f>H95-J95</f>
      </c>
    </row>
    <row r="96">
      <c r="A96">
        <v>23</v>
      </c>
      <c r="B96" t="inlineStr">
        <is>
          <t>Upside</t>
        </is>
      </c>
      <c r="C96">
        <f>SUMIFS(Funnel!$J:$J,Funnel!$A:$A,A96,Funnel!$B:$B,B96)</f>
      </c>
      <c r="D96">
        <f>C96*INDEX(Assumptions!$C:$E,MATCH("Tickets per active user per month",Assumptions!$B:$B,0),MATCH(B96,Assumptions!$C$3:$E$3,0))</f>
      </c>
      <c r="E96">
        <f>INDEX(Assumptions!$C:$E,MATCH("Average ticket",Assumptions!$B:$B,0),MATCH(B96,Assumptions!$C$3:$E$3,0))</f>
      </c>
      <c r="F96">
        <f>D96*E96</f>
      </c>
      <c r="G96">
        <f>F96*INDEX(Assumptions!$C:$E,MATCH("Prize pool share",Assumptions!$B:$B,0),MATCH(B96,Assumptions!$C$3:$E$3,0))</f>
      </c>
      <c r="H96">
        <f>F96*INDEX(Assumptions!$C:$E,MATCH("Platform fee share",Assumptions!$B:$B,0),MATCH(B96,Assumptions!$C$3:$E$3,0))</f>
      </c>
      <c r="I96">
        <f>F96*INDEX(Assumptions!$C:$E,MATCH("Jackpot contribution share",Assumptions!$B:$B,0),MATCH(B96,Assumptions!$C$3:$E$3,0))</f>
      </c>
      <c r="J96">
        <f>H96*INDEX(Assumptions!$C:$E,MATCH("Gas reserve share of platform fee",Assumptions!$B:$B,0),MATCH(B96,Assumptions!$C$3:$E$3,0))</f>
      </c>
      <c r="K96">
        <f>H96-J96</f>
      </c>
    </row>
    <row r="97">
      <c r="A97">
        <v>24</v>
      </c>
      <c r="B97" t="inlineStr">
        <is>
          <t>Upside</t>
        </is>
      </c>
      <c r="C97">
        <f>SUMIFS(Funnel!$J:$J,Funnel!$A:$A,A97,Funnel!$B:$B,B97)</f>
      </c>
      <c r="D97">
        <f>C97*INDEX(Assumptions!$C:$E,MATCH("Tickets per active user per month",Assumptions!$B:$B,0),MATCH(B97,Assumptions!$C$3:$E$3,0))</f>
      </c>
      <c r="E97">
        <f>INDEX(Assumptions!$C:$E,MATCH("Average ticket",Assumptions!$B:$B,0),MATCH(B97,Assumptions!$C$3:$E$3,0))</f>
      </c>
      <c r="F97">
        <f>D97*E97</f>
      </c>
      <c r="G97">
        <f>F97*INDEX(Assumptions!$C:$E,MATCH("Prize pool share",Assumptions!$B:$B,0),MATCH(B97,Assumptions!$C$3:$E$3,0))</f>
      </c>
      <c r="H97">
        <f>F97*INDEX(Assumptions!$C:$E,MATCH("Platform fee share",Assumptions!$B:$B,0),MATCH(B97,Assumptions!$C$3:$E$3,0))</f>
      </c>
      <c r="I97">
        <f>F97*INDEX(Assumptions!$C:$E,MATCH("Jackpot contribution share",Assumptions!$B:$B,0),MATCH(B97,Assumptions!$C$3:$E$3,0))</f>
      </c>
      <c r="J97">
        <f>H97*INDEX(Assumptions!$C:$E,MATCH("Gas reserve share of platform fee",Assumptions!$B:$B,0),MATCH(B97,Assumptions!$C$3:$E$3,0))</f>
      </c>
      <c r="K97">
        <f>H97-J97</f>
      </c>
    </row>
    <row r="98">
      <c r="A98">
        <v>25</v>
      </c>
      <c r="B98" t="inlineStr">
        <is>
          <t>Upside</t>
        </is>
      </c>
      <c r="C98">
        <f>SUMIFS(Funnel!$J:$J,Funnel!$A:$A,A98,Funnel!$B:$B,B98)</f>
      </c>
      <c r="D98">
        <f>C98*INDEX(Assumptions!$C:$E,MATCH("Tickets per active user per month",Assumptions!$B:$B,0),MATCH(B98,Assumptions!$C$3:$E$3,0))</f>
      </c>
      <c r="E98">
        <f>INDEX(Assumptions!$C:$E,MATCH("Average ticket",Assumptions!$B:$B,0),MATCH(B98,Assumptions!$C$3:$E$3,0))</f>
      </c>
      <c r="F98">
        <f>D98*E98</f>
      </c>
      <c r="G98">
        <f>F98*INDEX(Assumptions!$C:$E,MATCH("Prize pool share",Assumptions!$B:$B,0),MATCH(B98,Assumptions!$C$3:$E$3,0))</f>
      </c>
      <c r="H98">
        <f>F98*INDEX(Assumptions!$C:$E,MATCH("Platform fee share",Assumptions!$B:$B,0),MATCH(B98,Assumptions!$C$3:$E$3,0))</f>
      </c>
      <c r="I98">
        <f>F98*INDEX(Assumptions!$C:$E,MATCH("Jackpot contribution share",Assumptions!$B:$B,0),MATCH(B98,Assumptions!$C$3:$E$3,0))</f>
      </c>
      <c r="J98">
        <f>H98*INDEX(Assumptions!$C:$E,MATCH("Gas reserve share of platform fee",Assumptions!$B:$B,0),MATCH(B98,Assumptions!$C$3:$E$3,0))</f>
      </c>
      <c r="K98">
        <f>H98-J98</f>
      </c>
    </row>
    <row r="99">
      <c r="A99">
        <v>26</v>
      </c>
      <c r="B99" t="inlineStr">
        <is>
          <t>Upside</t>
        </is>
      </c>
      <c r="C99">
        <f>SUMIFS(Funnel!$J:$J,Funnel!$A:$A,A99,Funnel!$B:$B,B99)</f>
      </c>
      <c r="D99">
        <f>C99*INDEX(Assumptions!$C:$E,MATCH("Tickets per active user per month",Assumptions!$B:$B,0),MATCH(B99,Assumptions!$C$3:$E$3,0))</f>
      </c>
      <c r="E99">
        <f>INDEX(Assumptions!$C:$E,MATCH("Average ticket",Assumptions!$B:$B,0),MATCH(B99,Assumptions!$C$3:$E$3,0))</f>
      </c>
      <c r="F99">
        <f>D99*E99</f>
      </c>
      <c r="G99">
        <f>F99*INDEX(Assumptions!$C:$E,MATCH("Prize pool share",Assumptions!$B:$B,0),MATCH(B99,Assumptions!$C$3:$E$3,0))</f>
      </c>
      <c r="H99">
        <f>F99*INDEX(Assumptions!$C:$E,MATCH("Platform fee share",Assumptions!$B:$B,0),MATCH(B99,Assumptions!$C$3:$E$3,0))</f>
      </c>
      <c r="I99">
        <f>F99*INDEX(Assumptions!$C:$E,MATCH("Jackpot contribution share",Assumptions!$B:$B,0),MATCH(B99,Assumptions!$C$3:$E$3,0))</f>
      </c>
      <c r="J99">
        <f>H99*INDEX(Assumptions!$C:$E,MATCH("Gas reserve share of platform fee",Assumptions!$B:$B,0),MATCH(B99,Assumptions!$C$3:$E$3,0))</f>
      </c>
      <c r="K99">
        <f>H99-J99</f>
      </c>
    </row>
    <row r="100">
      <c r="A100">
        <v>27</v>
      </c>
      <c r="B100" t="inlineStr">
        <is>
          <t>Upside</t>
        </is>
      </c>
      <c r="C100">
        <f>SUMIFS(Funnel!$J:$J,Funnel!$A:$A,A100,Funnel!$B:$B,B100)</f>
      </c>
      <c r="D100">
        <f>C100*INDEX(Assumptions!$C:$E,MATCH("Tickets per active user per month",Assumptions!$B:$B,0),MATCH(B100,Assumptions!$C$3:$E$3,0))</f>
      </c>
      <c r="E100">
        <f>INDEX(Assumptions!$C:$E,MATCH("Average ticket",Assumptions!$B:$B,0),MATCH(B100,Assumptions!$C$3:$E$3,0))</f>
      </c>
      <c r="F100">
        <f>D100*E100</f>
      </c>
      <c r="G100">
        <f>F100*INDEX(Assumptions!$C:$E,MATCH("Prize pool share",Assumptions!$B:$B,0),MATCH(B100,Assumptions!$C$3:$E$3,0))</f>
      </c>
      <c r="H100">
        <f>F100*INDEX(Assumptions!$C:$E,MATCH("Platform fee share",Assumptions!$B:$B,0),MATCH(B100,Assumptions!$C$3:$E$3,0))</f>
      </c>
      <c r="I100">
        <f>F100*INDEX(Assumptions!$C:$E,MATCH("Jackpot contribution share",Assumptions!$B:$B,0),MATCH(B100,Assumptions!$C$3:$E$3,0))</f>
      </c>
      <c r="J100">
        <f>H100*INDEX(Assumptions!$C:$E,MATCH("Gas reserve share of platform fee",Assumptions!$B:$B,0),MATCH(B100,Assumptions!$C$3:$E$3,0))</f>
      </c>
      <c r="K100">
        <f>H100-J100</f>
      </c>
    </row>
    <row r="101">
      <c r="A101">
        <v>28</v>
      </c>
      <c r="B101" t="inlineStr">
        <is>
          <t>Upside</t>
        </is>
      </c>
      <c r="C101">
        <f>SUMIFS(Funnel!$J:$J,Funnel!$A:$A,A101,Funnel!$B:$B,B101)</f>
      </c>
      <c r="D101">
        <f>C101*INDEX(Assumptions!$C:$E,MATCH("Tickets per active user per month",Assumptions!$B:$B,0),MATCH(B101,Assumptions!$C$3:$E$3,0))</f>
      </c>
      <c r="E101">
        <f>INDEX(Assumptions!$C:$E,MATCH("Average ticket",Assumptions!$B:$B,0),MATCH(B101,Assumptions!$C$3:$E$3,0))</f>
      </c>
      <c r="F101">
        <f>D101*E101</f>
      </c>
      <c r="G101">
        <f>F101*INDEX(Assumptions!$C:$E,MATCH("Prize pool share",Assumptions!$B:$B,0),MATCH(B101,Assumptions!$C$3:$E$3,0))</f>
      </c>
      <c r="H101">
        <f>F101*INDEX(Assumptions!$C:$E,MATCH("Platform fee share",Assumptions!$B:$B,0),MATCH(B101,Assumptions!$C$3:$E$3,0))</f>
      </c>
      <c r="I101">
        <f>F101*INDEX(Assumptions!$C:$E,MATCH("Jackpot contribution share",Assumptions!$B:$B,0),MATCH(B101,Assumptions!$C$3:$E$3,0))</f>
      </c>
      <c r="J101">
        <f>H101*INDEX(Assumptions!$C:$E,MATCH("Gas reserve share of platform fee",Assumptions!$B:$B,0),MATCH(B101,Assumptions!$C$3:$E$3,0))</f>
      </c>
      <c r="K101">
        <f>H101-J101</f>
      </c>
    </row>
    <row r="102">
      <c r="A102">
        <v>29</v>
      </c>
      <c r="B102" t="inlineStr">
        <is>
          <t>Upside</t>
        </is>
      </c>
      <c r="C102">
        <f>SUMIFS(Funnel!$J:$J,Funnel!$A:$A,A102,Funnel!$B:$B,B102)</f>
      </c>
      <c r="D102">
        <f>C102*INDEX(Assumptions!$C:$E,MATCH("Tickets per active user per month",Assumptions!$B:$B,0),MATCH(B102,Assumptions!$C$3:$E$3,0))</f>
      </c>
      <c r="E102">
        <f>INDEX(Assumptions!$C:$E,MATCH("Average ticket",Assumptions!$B:$B,0),MATCH(B102,Assumptions!$C$3:$E$3,0))</f>
      </c>
      <c r="F102">
        <f>D102*E102</f>
      </c>
      <c r="G102">
        <f>F102*INDEX(Assumptions!$C:$E,MATCH("Prize pool share",Assumptions!$B:$B,0),MATCH(B102,Assumptions!$C$3:$E$3,0))</f>
      </c>
      <c r="H102">
        <f>F102*INDEX(Assumptions!$C:$E,MATCH("Platform fee share",Assumptions!$B:$B,0),MATCH(B102,Assumptions!$C$3:$E$3,0))</f>
      </c>
      <c r="I102">
        <f>F102*INDEX(Assumptions!$C:$E,MATCH("Jackpot contribution share",Assumptions!$B:$B,0),MATCH(B102,Assumptions!$C$3:$E$3,0))</f>
      </c>
      <c r="J102">
        <f>H102*INDEX(Assumptions!$C:$E,MATCH("Gas reserve share of platform fee",Assumptions!$B:$B,0),MATCH(B102,Assumptions!$C$3:$E$3,0))</f>
      </c>
      <c r="K102">
        <f>H102-J102</f>
      </c>
    </row>
    <row r="103">
      <c r="A103">
        <v>30</v>
      </c>
      <c r="B103" t="inlineStr">
        <is>
          <t>Upside</t>
        </is>
      </c>
      <c r="C103">
        <f>SUMIFS(Funnel!$J:$J,Funnel!$A:$A,A103,Funnel!$B:$B,B103)</f>
      </c>
      <c r="D103">
        <f>C103*INDEX(Assumptions!$C:$E,MATCH("Tickets per active user per month",Assumptions!$B:$B,0),MATCH(B103,Assumptions!$C$3:$E$3,0))</f>
      </c>
      <c r="E103">
        <f>INDEX(Assumptions!$C:$E,MATCH("Average ticket",Assumptions!$B:$B,0),MATCH(B103,Assumptions!$C$3:$E$3,0))</f>
      </c>
      <c r="F103">
        <f>D103*E103</f>
      </c>
      <c r="G103">
        <f>F103*INDEX(Assumptions!$C:$E,MATCH("Prize pool share",Assumptions!$B:$B,0),MATCH(B103,Assumptions!$C$3:$E$3,0))</f>
      </c>
      <c r="H103">
        <f>F103*INDEX(Assumptions!$C:$E,MATCH("Platform fee share",Assumptions!$B:$B,0),MATCH(B103,Assumptions!$C$3:$E$3,0))</f>
      </c>
      <c r="I103">
        <f>F103*INDEX(Assumptions!$C:$E,MATCH("Jackpot contribution share",Assumptions!$B:$B,0),MATCH(B103,Assumptions!$C$3:$E$3,0))</f>
      </c>
      <c r="J103">
        <f>H103*INDEX(Assumptions!$C:$E,MATCH("Gas reserve share of platform fee",Assumptions!$B:$B,0),MATCH(B103,Assumptions!$C$3:$E$3,0))</f>
      </c>
      <c r="K103">
        <f>H103-J103</f>
      </c>
    </row>
    <row r="104">
      <c r="A104">
        <v>31</v>
      </c>
      <c r="B104" t="inlineStr">
        <is>
          <t>Upside</t>
        </is>
      </c>
      <c r="C104">
        <f>SUMIFS(Funnel!$J:$J,Funnel!$A:$A,A104,Funnel!$B:$B,B104)</f>
      </c>
      <c r="D104">
        <f>C104*INDEX(Assumptions!$C:$E,MATCH("Tickets per active user per month",Assumptions!$B:$B,0),MATCH(B104,Assumptions!$C$3:$E$3,0))</f>
      </c>
      <c r="E104">
        <f>INDEX(Assumptions!$C:$E,MATCH("Average ticket",Assumptions!$B:$B,0),MATCH(B104,Assumptions!$C$3:$E$3,0))</f>
      </c>
      <c r="F104">
        <f>D104*E104</f>
      </c>
      <c r="G104">
        <f>F104*INDEX(Assumptions!$C:$E,MATCH("Prize pool share",Assumptions!$B:$B,0),MATCH(B104,Assumptions!$C$3:$E$3,0))</f>
      </c>
      <c r="H104">
        <f>F104*INDEX(Assumptions!$C:$E,MATCH("Platform fee share",Assumptions!$B:$B,0),MATCH(B104,Assumptions!$C$3:$E$3,0))</f>
      </c>
      <c r="I104">
        <f>F104*INDEX(Assumptions!$C:$E,MATCH("Jackpot contribution share",Assumptions!$B:$B,0),MATCH(B104,Assumptions!$C$3:$E$3,0))</f>
      </c>
      <c r="J104">
        <f>H104*INDEX(Assumptions!$C:$E,MATCH("Gas reserve share of platform fee",Assumptions!$B:$B,0),MATCH(B104,Assumptions!$C$3:$E$3,0))</f>
      </c>
      <c r="K104">
        <f>H104-J104</f>
      </c>
    </row>
    <row r="105">
      <c r="A105">
        <v>32</v>
      </c>
      <c r="B105" t="inlineStr">
        <is>
          <t>Upside</t>
        </is>
      </c>
      <c r="C105">
        <f>SUMIFS(Funnel!$J:$J,Funnel!$A:$A,A105,Funnel!$B:$B,B105)</f>
      </c>
      <c r="D105">
        <f>C105*INDEX(Assumptions!$C:$E,MATCH("Tickets per active user per month",Assumptions!$B:$B,0),MATCH(B105,Assumptions!$C$3:$E$3,0))</f>
      </c>
      <c r="E105">
        <f>INDEX(Assumptions!$C:$E,MATCH("Average ticket",Assumptions!$B:$B,0),MATCH(B105,Assumptions!$C$3:$E$3,0))</f>
      </c>
      <c r="F105">
        <f>D105*E105</f>
      </c>
      <c r="G105">
        <f>F105*INDEX(Assumptions!$C:$E,MATCH("Prize pool share",Assumptions!$B:$B,0),MATCH(B105,Assumptions!$C$3:$E$3,0))</f>
      </c>
      <c r="H105">
        <f>F105*INDEX(Assumptions!$C:$E,MATCH("Platform fee share",Assumptions!$B:$B,0),MATCH(B105,Assumptions!$C$3:$E$3,0))</f>
      </c>
      <c r="I105">
        <f>F105*INDEX(Assumptions!$C:$E,MATCH("Jackpot contribution share",Assumptions!$B:$B,0),MATCH(B105,Assumptions!$C$3:$E$3,0))</f>
      </c>
      <c r="J105">
        <f>H105*INDEX(Assumptions!$C:$E,MATCH("Gas reserve share of platform fee",Assumptions!$B:$B,0),MATCH(B105,Assumptions!$C$3:$E$3,0))</f>
      </c>
      <c r="K105">
        <f>H105-J105</f>
      </c>
    </row>
    <row r="106">
      <c r="A106">
        <v>33</v>
      </c>
      <c r="B106" t="inlineStr">
        <is>
          <t>Upside</t>
        </is>
      </c>
      <c r="C106">
        <f>SUMIFS(Funnel!$J:$J,Funnel!$A:$A,A106,Funnel!$B:$B,B106)</f>
      </c>
      <c r="D106">
        <f>C106*INDEX(Assumptions!$C:$E,MATCH("Tickets per active user per month",Assumptions!$B:$B,0),MATCH(B106,Assumptions!$C$3:$E$3,0))</f>
      </c>
      <c r="E106">
        <f>INDEX(Assumptions!$C:$E,MATCH("Average ticket",Assumptions!$B:$B,0),MATCH(B106,Assumptions!$C$3:$E$3,0))</f>
      </c>
      <c r="F106">
        <f>D106*E106</f>
      </c>
      <c r="G106">
        <f>F106*INDEX(Assumptions!$C:$E,MATCH("Prize pool share",Assumptions!$B:$B,0),MATCH(B106,Assumptions!$C$3:$E$3,0))</f>
      </c>
      <c r="H106">
        <f>F106*INDEX(Assumptions!$C:$E,MATCH("Platform fee share",Assumptions!$B:$B,0),MATCH(B106,Assumptions!$C$3:$E$3,0))</f>
      </c>
      <c r="I106">
        <f>F106*INDEX(Assumptions!$C:$E,MATCH("Jackpot contribution share",Assumptions!$B:$B,0),MATCH(B106,Assumptions!$C$3:$E$3,0))</f>
      </c>
      <c r="J106">
        <f>H106*INDEX(Assumptions!$C:$E,MATCH("Gas reserve share of platform fee",Assumptions!$B:$B,0),MATCH(B106,Assumptions!$C$3:$E$3,0))</f>
      </c>
      <c r="K106">
        <f>H106-J106</f>
      </c>
    </row>
    <row r="107">
      <c r="A107">
        <v>34</v>
      </c>
      <c r="B107" t="inlineStr">
        <is>
          <t>Upside</t>
        </is>
      </c>
      <c r="C107">
        <f>SUMIFS(Funnel!$J:$J,Funnel!$A:$A,A107,Funnel!$B:$B,B107)</f>
      </c>
      <c r="D107">
        <f>C107*INDEX(Assumptions!$C:$E,MATCH("Tickets per active user per month",Assumptions!$B:$B,0),MATCH(B107,Assumptions!$C$3:$E$3,0))</f>
      </c>
      <c r="E107">
        <f>INDEX(Assumptions!$C:$E,MATCH("Average ticket",Assumptions!$B:$B,0),MATCH(B107,Assumptions!$C$3:$E$3,0))</f>
      </c>
      <c r="F107">
        <f>D107*E107</f>
      </c>
      <c r="G107">
        <f>F107*INDEX(Assumptions!$C:$E,MATCH("Prize pool share",Assumptions!$B:$B,0),MATCH(B107,Assumptions!$C$3:$E$3,0))</f>
      </c>
      <c r="H107">
        <f>F107*INDEX(Assumptions!$C:$E,MATCH("Platform fee share",Assumptions!$B:$B,0),MATCH(B107,Assumptions!$C$3:$E$3,0))</f>
      </c>
      <c r="I107">
        <f>F107*INDEX(Assumptions!$C:$E,MATCH("Jackpot contribution share",Assumptions!$B:$B,0),MATCH(B107,Assumptions!$C$3:$E$3,0))</f>
      </c>
      <c r="J107">
        <f>H107*INDEX(Assumptions!$C:$E,MATCH("Gas reserve share of platform fee",Assumptions!$B:$B,0),MATCH(B107,Assumptions!$C$3:$E$3,0))</f>
      </c>
      <c r="K107">
        <f>H107-J107</f>
      </c>
    </row>
    <row r="108">
      <c r="A108">
        <v>35</v>
      </c>
      <c r="B108" t="inlineStr">
        <is>
          <t>Upside</t>
        </is>
      </c>
      <c r="C108">
        <f>SUMIFS(Funnel!$J:$J,Funnel!$A:$A,A108,Funnel!$B:$B,B108)</f>
      </c>
      <c r="D108">
        <f>C108*INDEX(Assumptions!$C:$E,MATCH("Tickets per active user per month",Assumptions!$B:$B,0),MATCH(B108,Assumptions!$C$3:$E$3,0))</f>
      </c>
      <c r="E108">
        <f>INDEX(Assumptions!$C:$E,MATCH("Average ticket",Assumptions!$B:$B,0),MATCH(B108,Assumptions!$C$3:$E$3,0))</f>
      </c>
      <c r="F108">
        <f>D108*E108</f>
      </c>
      <c r="G108">
        <f>F108*INDEX(Assumptions!$C:$E,MATCH("Prize pool share",Assumptions!$B:$B,0),MATCH(B108,Assumptions!$C$3:$E$3,0))</f>
      </c>
      <c r="H108">
        <f>F108*INDEX(Assumptions!$C:$E,MATCH("Platform fee share",Assumptions!$B:$B,0),MATCH(B108,Assumptions!$C$3:$E$3,0))</f>
      </c>
      <c r="I108">
        <f>F108*INDEX(Assumptions!$C:$E,MATCH("Jackpot contribution share",Assumptions!$B:$B,0),MATCH(B108,Assumptions!$C$3:$E$3,0))</f>
      </c>
      <c r="J108">
        <f>H108*INDEX(Assumptions!$C:$E,MATCH("Gas reserve share of platform fee",Assumptions!$B:$B,0),MATCH(B108,Assumptions!$C$3:$E$3,0))</f>
      </c>
      <c r="K108">
        <f>H108-J108</f>
      </c>
    </row>
    <row r="109">
      <c r="A109">
        <v>36</v>
      </c>
      <c r="B109" t="inlineStr">
        <is>
          <t>Upside</t>
        </is>
      </c>
      <c r="C109">
        <f>SUMIFS(Funnel!$J:$J,Funnel!$A:$A,A109,Funnel!$B:$B,B109)</f>
      </c>
      <c r="D109">
        <f>C109*INDEX(Assumptions!$C:$E,MATCH("Tickets per active user per month",Assumptions!$B:$B,0),MATCH(B109,Assumptions!$C$3:$E$3,0))</f>
      </c>
      <c r="E109">
        <f>INDEX(Assumptions!$C:$E,MATCH("Average ticket",Assumptions!$B:$B,0),MATCH(B109,Assumptions!$C$3:$E$3,0))</f>
      </c>
      <c r="F109">
        <f>D109*E109</f>
      </c>
      <c r="G109">
        <f>F109*INDEX(Assumptions!$C:$E,MATCH("Prize pool share",Assumptions!$B:$B,0),MATCH(B109,Assumptions!$C$3:$E$3,0))</f>
      </c>
      <c r="H109">
        <f>F109*INDEX(Assumptions!$C:$E,MATCH("Platform fee share",Assumptions!$B:$B,0),MATCH(B109,Assumptions!$C$3:$E$3,0))</f>
      </c>
      <c r="I109">
        <f>F109*INDEX(Assumptions!$C:$E,MATCH("Jackpot contribution share",Assumptions!$B:$B,0),MATCH(B109,Assumptions!$C$3:$E$3,0))</f>
      </c>
      <c r="J109">
        <f>H109*INDEX(Assumptions!$C:$E,MATCH("Gas reserve share of platform fee",Assumptions!$B:$B,0),MATCH(B109,Assumptions!$C$3:$E$3,0))</f>
      </c>
      <c r="K109">
        <f>H109-J109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9"/>
  <sheetViews>
    <sheetView workbookViewId="0"/>
  </sheetViews>
  <sheetFormatPr defaultRowHeight="15"/>
  <cols>
    <col min="1" max="1" width="10" customWidth="1"/>
    <col min="2" max="2" width="16" customWidth="1"/>
    <col min="3" max="3" width="16" customWidth="1"/>
    <col min="4" max="4" width="16" customWidth="1"/>
    <col min="5" max="5" width="16" customWidth="1"/>
    <col min="6" max="6" width="18" customWidth="1"/>
    <col min="7" max="7" width="16" customWidth="1"/>
    <col min="8" max="8" width="18" customWidth="1"/>
    <col min="9" max="9" width="18" customWidth="1"/>
    <col min="10" max="10" width="18" customWidth="1"/>
    <col min="11" max="11" width="16" customWidth="1"/>
    <col min="12" max="12" width="16" customWidth="1"/>
    <col min="13" max="13" width="18" customWidth="1"/>
    <col min="14" max="14" width="22" customWidth="1"/>
    <col min="15" max="15" width="16" customWidth="1"/>
  </cols>
  <sheetData>
    <row r="1">
      <c r="A1" t="inlineStr">
        <is>
          <t>Month</t>
        </is>
      </c>
      <c r="B1" t="inlineStr">
        <is>
          <t>Scenario</t>
        </is>
      </c>
      <c r="C1" t="inlineStr">
        <is>
          <t>First buyers</t>
        </is>
      </c>
      <c r="D1" t="inlineStr">
        <is>
          <t>Active users</t>
        </is>
      </c>
      <c r="E1" t="inlineStr">
        <is>
          <t>CPA cost</t>
        </is>
      </c>
      <c r="F1" t="inlineStr">
        <is>
          <t>Marketing fixed</t>
        </is>
      </c>
      <c r="G1" t="inlineStr">
        <is>
          <t>KYC cost</t>
        </is>
      </c>
      <c r="H1" t="inlineStr">
        <is>
          <t>Support variable</t>
        </is>
      </c>
      <c r="I1" t="inlineStr">
        <is>
          <t>Product/dev/ops</t>
        </is>
      </c>
      <c r="J1" t="inlineStr">
        <is>
          <t>Legal/compliance</t>
        </is>
      </c>
      <c r="K1" t="inlineStr">
        <is>
          <t>Oracle/data</t>
        </is>
      </c>
      <c r="L1" t="inlineStr">
        <is>
          <t>Infrastructure</t>
        </is>
      </c>
      <c r="M1" t="inlineStr">
        <is>
          <t>Audit/security</t>
        </is>
      </c>
      <c r="N1" t="inlineStr">
        <is>
          <t>Jackpot top-up reserve</t>
        </is>
      </c>
      <c r="O1" t="inlineStr">
        <is>
          <t>Total costs</t>
        </is>
      </c>
    </row>
    <row r="2">
      <c r="A2">
        <v>1</v>
      </c>
      <c r="B2" t="inlineStr">
        <is>
          <t>Conservative</t>
        </is>
      </c>
      <c r="C2">
        <f>SUMIFS(Funnel!$H:$H,Funnel!$A:$A,A2,Funnel!$B:$B,B2)</f>
      </c>
      <c r="D2">
        <f>SUMIFS(Funnel!$J:$J,Funnel!$A:$A,A2,Funnel!$B:$B,B2)</f>
      </c>
      <c r="E2">
        <f>C2*INDEX(Assumptions!$C:$E,MATCH("Partner share of first buyers",Assumptions!$B:$B,0),MATCH(B2,Assumptions!$C$3:$E$3,0))*INDEX(Assumptions!$C:$E,MATCH("CPA per qualified player",Assumptions!$B:$B,0),MATCH(B2,Assumptions!$C$3:$E$3,0))*INDEX(Assumptions!$C:$E,MATCH("CPA approved rate",Assumptions!$B:$B,0),MATCH(B2,Assumptions!$C$3:$E$3,0))</f>
      </c>
      <c r="F2">
        <f>INDEX(Assumptions!$C:$E,MATCH("Monthly marketing fixed budget",Assumptions!$B:$B,0),MATCH(B2,Assumptions!$C$3:$E$3,0))</f>
      </c>
      <c r="G2">
        <f>D2*INDEX(Assumptions!$C:$E,MATCH("KYC required rate",Assumptions!$B:$B,0),MATCH(B2,Assumptions!$C$3:$E$3,0))*INDEX(Assumptions!$C:$E,MATCH("KYC cost per checked user",Assumptions!$B:$B,0),MATCH(B2,Assumptions!$C$3:$E$3,0))</f>
      </c>
      <c r="H2">
        <f>D2*INDEX(Assumptions!$C:$E,MATCH("Support cost per active user",Assumptions!$B:$B,0),MATCH(B2,Assumptions!$C$3:$E$3,0))</f>
      </c>
      <c r="I2">
        <f>INDEX(Assumptions!$C:$E,MATCH("Monthly product/dev/ops cost",Assumptions!$B:$B,0),MATCH(B2,Assumptions!$C$3:$E$3,0))</f>
      </c>
      <c r="J2">
        <f>INDEX(Assumptions!$C:$E,MATCH("Monthly legal/compliance reserve",Assumptions!$B:$B,0),MATCH(B2,Assumptions!$C$3:$E$3,0))</f>
      </c>
      <c r="K2">
        <f>INDEX(Assumptions!$C:$E,MATCH("Monthly oracle/data cost",Assumptions!$B:$B,0),MATCH(B2,Assumptions!$C$3:$E$3,0))</f>
      </c>
      <c r="L2">
        <f>INDEX(Assumptions!$C:$E,MATCH("Monthly infrastructure cost",Assumptions!$B:$B,0),MATCH(B2,Assumptions!$C$3:$E$3,0))</f>
      </c>
      <c r="M2">
        <f>INDEX(Assumptions!$C:$E,MATCH("Monthly audit/security reserve",Assumptions!$B:$B,0),MATCH(B2,Assumptions!$C$3:$E$3,0))</f>
      </c>
      <c r="N2">
        <f>INDEX(Assumptions!$C:$E,MATCH("Monthly jackpot top-up reserve",Assumptions!$B:$B,0),MATCH(B2,Assumptions!$C$3:$E$3,0))</f>
      </c>
      <c r="O2">
        <f>SUM(E2)</f>
      </c>
    </row>
    <row r="3">
      <c r="A3">
        <v>2</v>
      </c>
      <c r="B3" t="inlineStr">
        <is>
          <t>Conservative</t>
        </is>
      </c>
      <c r="C3">
        <f>SUMIFS(Funnel!$H:$H,Funnel!$A:$A,A3,Funnel!$B:$B,B3)</f>
      </c>
      <c r="D3">
        <f>SUMIFS(Funnel!$J:$J,Funnel!$A:$A,A3,Funnel!$B:$B,B3)</f>
      </c>
      <c r="E3">
        <f>C3*INDEX(Assumptions!$C:$E,MATCH("Partner share of first buyers",Assumptions!$B:$B,0),MATCH(B3,Assumptions!$C$3:$E$3,0))*INDEX(Assumptions!$C:$E,MATCH("CPA per qualified player",Assumptions!$B:$B,0),MATCH(B3,Assumptions!$C$3:$E$3,0))*INDEX(Assumptions!$C:$E,MATCH("CPA approved rate",Assumptions!$B:$B,0),MATCH(B3,Assumptions!$C$3:$E$3,0))</f>
      </c>
      <c r="F3">
        <f>INDEX(Assumptions!$C:$E,MATCH("Monthly marketing fixed budget",Assumptions!$B:$B,0),MATCH(B3,Assumptions!$C$3:$E$3,0))</f>
      </c>
      <c r="G3">
        <f>D3*INDEX(Assumptions!$C:$E,MATCH("KYC required rate",Assumptions!$B:$B,0),MATCH(B3,Assumptions!$C$3:$E$3,0))*INDEX(Assumptions!$C:$E,MATCH("KYC cost per checked user",Assumptions!$B:$B,0),MATCH(B3,Assumptions!$C$3:$E$3,0))</f>
      </c>
      <c r="H3">
        <f>D3*INDEX(Assumptions!$C:$E,MATCH("Support cost per active user",Assumptions!$B:$B,0),MATCH(B3,Assumptions!$C$3:$E$3,0))</f>
      </c>
      <c r="I3">
        <f>INDEX(Assumptions!$C:$E,MATCH("Monthly product/dev/ops cost",Assumptions!$B:$B,0),MATCH(B3,Assumptions!$C$3:$E$3,0))</f>
      </c>
      <c r="J3">
        <f>INDEX(Assumptions!$C:$E,MATCH("Monthly legal/compliance reserve",Assumptions!$B:$B,0),MATCH(B3,Assumptions!$C$3:$E$3,0))</f>
      </c>
      <c r="K3">
        <f>INDEX(Assumptions!$C:$E,MATCH("Monthly oracle/data cost",Assumptions!$B:$B,0),MATCH(B3,Assumptions!$C$3:$E$3,0))</f>
      </c>
      <c r="L3">
        <f>INDEX(Assumptions!$C:$E,MATCH("Monthly infrastructure cost",Assumptions!$B:$B,0),MATCH(B3,Assumptions!$C$3:$E$3,0))</f>
      </c>
      <c r="M3">
        <f>INDEX(Assumptions!$C:$E,MATCH("Monthly audit/security reserve",Assumptions!$B:$B,0),MATCH(B3,Assumptions!$C$3:$E$3,0))</f>
      </c>
      <c r="N3">
        <f>INDEX(Assumptions!$C:$E,MATCH("Monthly jackpot top-up reserve",Assumptions!$B:$B,0),MATCH(B3,Assumptions!$C$3:$E$3,0))</f>
      </c>
      <c r="O3">
        <f>SUM(E3)</f>
      </c>
    </row>
    <row r="4">
      <c r="A4">
        <v>3</v>
      </c>
      <c r="B4" t="inlineStr">
        <is>
          <t>Conservative</t>
        </is>
      </c>
      <c r="C4">
        <f>SUMIFS(Funnel!$H:$H,Funnel!$A:$A,A4,Funnel!$B:$B,B4)</f>
      </c>
      <c r="D4">
        <f>SUMIFS(Funnel!$J:$J,Funnel!$A:$A,A4,Funnel!$B:$B,B4)</f>
      </c>
      <c r="E4">
        <f>C4*INDEX(Assumptions!$C:$E,MATCH("Partner share of first buyers",Assumptions!$B:$B,0),MATCH(B4,Assumptions!$C$3:$E$3,0))*INDEX(Assumptions!$C:$E,MATCH("CPA per qualified player",Assumptions!$B:$B,0),MATCH(B4,Assumptions!$C$3:$E$3,0))*INDEX(Assumptions!$C:$E,MATCH("CPA approved rate",Assumptions!$B:$B,0),MATCH(B4,Assumptions!$C$3:$E$3,0))</f>
      </c>
      <c r="F4">
        <f>INDEX(Assumptions!$C:$E,MATCH("Monthly marketing fixed budget",Assumptions!$B:$B,0),MATCH(B4,Assumptions!$C$3:$E$3,0))</f>
      </c>
      <c r="G4">
        <f>D4*INDEX(Assumptions!$C:$E,MATCH("KYC required rate",Assumptions!$B:$B,0),MATCH(B4,Assumptions!$C$3:$E$3,0))*INDEX(Assumptions!$C:$E,MATCH("KYC cost per checked user",Assumptions!$B:$B,0),MATCH(B4,Assumptions!$C$3:$E$3,0))</f>
      </c>
      <c r="H4">
        <f>D4*INDEX(Assumptions!$C:$E,MATCH("Support cost per active user",Assumptions!$B:$B,0),MATCH(B4,Assumptions!$C$3:$E$3,0))</f>
      </c>
      <c r="I4">
        <f>INDEX(Assumptions!$C:$E,MATCH("Monthly product/dev/ops cost",Assumptions!$B:$B,0),MATCH(B4,Assumptions!$C$3:$E$3,0))</f>
      </c>
      <c r="J4">
        <f>INDEX(Assumptions!$C:$E,MATCH("Monthly legal/compliance reserve",Assumptions!$B:$B,0),MATCH(B4,Assumptions!$C$3:$E$3,0))</f>
      </c>
      <c r="K4">
        <f>INDEX(Assumptions!$C:$E,MATCH("Monthly oracle/data cost",Assumptions!$B:$B,0),MATCH(B4,Assumptions!$C$3:$E$3,0))</f>
      </c>
      <c r="L4">
        <f>INDEX(Assumptions!$C:$E,MATCH("Monthly infrastructure cost",Assumptions!$B:$B,0),MATCH(B4,Assumptions!$C$3:$E$3,0))</f>
      </c>
      <c r="M4">
        <f>INDEX(Assumptions!$C:$E,MATCH("Monthly audit/security reserve",Assumptions!$B:$B,0),MATCH(B4,Assumptions!$C$3:$E$3,0))</f>
      </c>
      <c r="N4">
        <f>INDEX(Assumptions!$C:$E,MATCH("Monthly jackpot top-up reserve",Assumptions!$B:$B,0),MATCH(B4,Assumptions!$C$3:$E$3,0))</f>
      </c>
      <c r="O4">
        <f>SUM(E4)</f>
      </c>
    </row>
    <row r="5">
      <c r="A5">
        <v>4</v>
      </c>
      <c r="B5" t="inlineStr">
        <is>
          <t>Conservative</t>
        </is>
      </c>
      <c r="C5">
        <f>SUMIFS(Funnel!$H:$H,Funnel!$A:$A,A5,Funnel!$B:$B,B5)</f>
      </c>
      <c r="D5">
        <f>SUMIFS(Funnel!$J:$J,Funnel!$A:$A,A5,Funnel!$B:$B,B5)</f>
      </c>
      <c r="E5">
        <f>C5*INDEX(Assumptions!$C:$E,MATCH("Partner share of first buyers",Assumptions!$B:$B,0),MATCH(B5,Assumptions!$C$3:$E$3,0))*INDEX(Assumptions!$C:$E,MATCH("CPA per qualified player",Assumptions!$B:$B,0),MATCH(B5,Assumptions!$C$3:$E$3,0))*INDEX(Assumptions!$C:$E,MATCH("CPA approved rate",Assumptions!$B:$B,0),MATCH(B5,Assumptions!$C$3:$E$3,0))</f>
      </c>
      <c r="F5">
        <f>INDEX(Assumptions!$C:$E,MATCH("Monthly marketing fixed budget",Assumptions!$B:$B,0),MATCH(B5,Assumptions!$C$3:$E$3,0))</f>
      </c>
      <c r="G5">
        <f>D5*INDEX(Assumptions!$C:$E,MATCH("KYC required rate",Assumptions!$B:$B,0),MATCH(B5,Assumptions!$C$3:$E$3,0))*INDEX(Assumptions!$C:$E,MATCH("KYC cost per checked user",Assumptions!$B:$B,0),MATCH(B5,Assumptions!$C$3:$E$3,0))</f>
      </c>
      <c r="H5">
        <f>D5*INDEX(Assumptions!$C:$E,MATCH("Support cost per active user",Assumptions!$B:$B,0),MATCH(B5,Assumptions!$C$3:$E$3,0))</f>
      </c>
      <c r="I5">
        <f>INDEX(Assumptions!$C:$E,MATCH("Monthly product/dev/ops cost",Assumptions!$B:$B,0),MATCH(B5,Assumptions!$C$3:$E$3,0))</f>
      </c>
      <c r="J5">
        <f>INDEX(Assumptions!$C:$E,MATCH("Monthly legal/compliance reserve",Assumptions!$B:$B,0),MATCH(B5,Assumptions!$C$3:$E$3,0))</f>
      </c>
      <c r="K5">
        <f>INDEX(Assumptions!$C:$E,MATCH("Monthly oracle/data cost",Assumptions!$B:$B,0),MATCH(B5,Assumptions!$C$3:$E$3,0))</f>
      </c>
      <c r="L5">
        <f>INDEX(Assumptions!$C:$E,MATCH("Monthly infrastructure cost",Assumptions!$B:$B,0),MATCH(B5,Assumptions!$C$3:$E$3,0))</f>
      </c>
      <c r="M5">
        <f>INDEX(Assumptions!$C:$E,MATCH("Monthly audit/security reserve",Assumptions!$B:$B,0),MATCH(B5,Assumptions!$C$3:$E$3,0))</f>
      </c>
      <c r="N5">
        <f>INDEX(Assumptions!$C:$E,MATCH("Monthly jackpot top-up reserve",Assumptions!$B:$B,0),MATCH(B5,Assumptions!$C$3:$E$3,0))</f>
      </c>
      <c r="O5">
        <f>SUM(E5)</f>
      </c>
    </row>
    <row r="6">
      <c r="A6">
        <v>5</v>
      </c>
      <c r="B6" t="inlineStr">
        <is>
          <t>Conservative</t>
        </is>
      </c>
      <c r="C6">
        <f>SUMIFS(Funnel!$H:$H,Funnel!$A:$A,A6,Funnel!$B:$B,B6)</f>
      </c>
      <c r="D6">
        <f>SUMIFS(Funnel!$J:$J,Funnel!$A:$A,A6,Funnel!$B:$B,B6)</f>
      </c>
      <c r="E6">
        <f>C6*INDEX(Assumptions!$C:$E,MATCH("Partner share of first buyers",Assumptions!$B:$B,0),MATCH(B6,Assumptions!$C$3:$E$3,0))*INDEX(Assumptions!$C:$E,MATCH("CPA per qualified player",Assumptions!$B:$B,0),MATCH(B6,Assumptions!$C$3:$E$3,0))*INDEX(Assumptions!$C:$E,MATCH("CPA approved rate",Assumptions!$B:$B,0),MATCH(B6,Assumptions!$C$3:$E$3,0))</f>
      </c>
      <c r="F6">
        <f>INDEX(Assumptions!$C:$E,MATCH("Monthly marketing fixed budget",Assumptions!$B:$B,0),MATCH(B6,Assumptions!$C$3:$E$3,0))</f>
      </c>
      <c r="G6">
        <f>D6*INDEX(Assumptions!$C:$E,MATCH("KYC required rate",Assumptions!$B:$B,0),MATCH(B6,Assumptions!$C$3:$E$3,0))*INDEX(Assumptions!$C:$E,MATCH("KYC cost per checked user",Assumptions!$B:$B,0),MATCH(B6,Assumptions!$C$3:$E$3,0))</f>
      </c>
      <c r="H6">
        <f>D6*INDEX(Assumptions!$C:$E,MATCH("Support cost per active user",Assumptions!$B:$B,0),MATCH(B6,Assumptions!$C$3:$E$3,0))</f>
      </c>
      <c r="I6">
        <f>INDEX(Assumptions!$C:$E,MATCH("Monthly product/dev/ops cost",Assumptions!$B:$B,0),MATCH(B6,Assumptions!$C$3:$E$3,0))</f>
      </c>
      <c r="J6">
        <f>INDEX(Assumptions!$C:$E,MATCH("Monthly legal/compliance reserve",Assumptions!$B:$B,0),MATCH(B6,Assumptions!$C$3:$E$3,0))</f>
      </c>
      <c r="K6">
        <f>INDEX(Assumptions!$C:$E,MATCH("Monthly oracle/data cost",Assumptions!$B:$B,0),MATCH(B6,Assumptions!$C$3:$E$3,0))</f>
      </c>
      <c r="L6">
        <f>INDEX(Assumptions!$C:$E,MATCH("Monthly infrastructure cost",Assumptions!$B:$B,0),MATCH(B6,Assumptions!$C$3:$E$3,0))</f>
      </c>
      <c r="M6">
        <f>INDEX(Assumptions!$C:$E,MATCH("Monthly audit/security reserve",Assumptions!$B:$B,0),MATCH(B6,Assumptions!$C$3:$E$3,0))</f>
      </c>
      <c r="N6">
        <f>INDEX(Assumptions!$C:$E,MATCH("Monthly jackpot top-up reserve",Assumptions!$B:$B,0),MATCH(B6,Assumptions!$C$3:$E$3,0))</f>
      </c>
      <c r="O6">
        <f>SUM(E6)</f>
      </c>
    </row>
    <row r="7">
      <c r="A7">
        <v>6</v>
      </c>
      <c r="B7" t="inlineStr">
        <is>
          <t>Conservative</t>
        </is>
      </c>
      <c r="C7">
        <f>SUMIFS(Funnel!$H:$H,Funnel!$A:$A,A7,Funnel!$B:$B,B7)</f>
      </c>
      <c r="D7">
        <f>SUMIFS(Funnel!$J:$J,Funnel!$A:$A,A7,Funnel!$B:$B,B7)</f>
      </c>
      <c r="E7">
        <f>C7*INDEX(Assumptions!$C:$E,MATCH("Partner share of first buyers",Assumptions!$B:$B,0),MATCH(B7,Assumptions!$C$3:$E$3,0))*INDEX(Assumptions!$C:$E,MATCH("CPA per qualified player",Assumptions!$B:$B,0),MATCH(B7,Assumptions!$C$3:$E$3,0))*INDEX(Assumptions!$C:$E,MATCH("CPA approved rate",Assumptions!$B:$B,0),MATCH(B7,Assumptions!$C$3:$E$3,0))</f>
      </c>
      <c r="F7">
        <f>INDEX(Assumptions!$C:$E,MATCH("Monthly marketing fixed budget",Assumptions!$B:$B,0),MATCH(B7,Assumptions!$C$3:$E$3,0))</f>
      </c>
      <c r="G7">
        <f>D7*INDEX(Assumptions!$C:$E,MATCH("KYC required rate",Assumptions!$B:$B,0),MATCH(B7,Assumptions!$C$3:$E$3,0))*INDEX(Assumptions!$C:$E,MATCH("KYC cost per checked user",Assumptions!$B:$B,0),MATCH(B7,Assumptions!$C$3:$E$3,0))</f>
      </c>
      <c r="H7">
        <f>D7*INDEX(Assumptions!$C:$E,MATCH("Support cost per active user",Assumptions!$B:$B,0),MATCH(B7,Assumptions!$C$3:$E$3,0))</f>
      </c>
      <c r="I7">
        <f>INDEX(Assumptions!$C:$E,MATCH("Monthly product/dev/ops cost",Assumptions!$B:$B,0),MATCH(B7,Assumptions!$C$3:$E$3,0))</f>
      </c>
      <c r="J7">
        <f>INDEX(Assumptions!$C:$E,MATCH("Monthly legal/compliance reserve",Assumptions!$B:$B,0),MATCH(B7,Assumptions!$C$3:$E$3,0))</f>
      </c>
      <c r="K7">
        <f>INDEX(Assumptions!$C:$E,MATCH("Monthly oracle/data cost",Assumptions!$B:$B,0),MATCH(B7,Assumptions!$C$3:$E$3,0))</f>
      </c>
      <c r="L7">
        <f>INDEX(Assumptions!$C:$E,MATCH("Monthly infrastructure cost",Assumptions!$B:$B,0),MATCH(B7,Assumptions!$C$3:$E$3,0))</f>
      </c>
      <c r="M7">
        <f>INDEX(Assumptions!$C:$E,MATCH("Monthly audit/security reserve",Assumptions!$B:$B,0),MATCH(B7,Assumptions!$C$3:$E$3,0))</f>
      </c>
      <c r="N7">
        <f>INDEX(Assumptions!$C:$E,MATCH("Monthly jackpot top-up reserve",Assumptions!$B:$B,0),MATCH(B7,Assumptions!$C$3:$E$3,0))</f>
      </c>
      <c r="O7">
        <f>SUM(E7)</f>
      </c>
    </row>
    <row r="8">
      <c r="A8">
        <v>7</v>
      </c>
      <c r="B8" t="inlineStr">
        <is>
          <t>Conservative</t>
        </is>
      </c>
      <c r="C8">
        <f>SUMIFS(Funnel!$H:$H,Funnel!$A:$A,A8,Funnel!$B:$B,B8)</f>
      </c>
      <c r="D8">
        <f>SUMIFS(Funnel!$J:$J,Funnel!$A:$A,A8,Funnel!$B:$B,B8)</f>
      </c>
      <c r="E8">
        <f>C8*INDEX(Assumptions!$C:$E,MATCH("Partner share of first buyers",Assumptions!$B:$B,0),MATCH(B8,Assumptions!$C$3:$E$3,0))*INDEX(Assumptions!$C:$E,MATCH("CPA per qualified player",Assumptions!$B:$B,0),MATCH(B8,Assumptions!$C$3:$E$3,0))*INDEX(Assumptions!$C:$E,MATCH("CPA approved rate",Assumptions!$B:$B,0),MATCH(B8,Assumptions!$C$3:$E$3,0))</f>
      </c>
      <c r="F8">
        <f>INDEX(Assumptions!$C:$E,MATCH("Monthly marketing fixed budget",Assumptions!$B:$B,0),MATCH(B8,Assumptions!$C$3:$E$3,0))</f>
      </c>
      <c r="G8">
        <f>D8*INDEX(Assumptions!$C:$E,MATCH("KYC required rate",Assumptions!$B:$B,0),MATCH(B8,Assumptions!$C$3:$E$3,0))*INDEX(Assumptions!$C:$E,MATCH("KYC cost per checked user",Assumptions!$B:$B,0),MATCH(B8,Assumptions!$C$3:$E$3,0))</f>
      </c>
      <c r="H8">
        <f>D8*INDEX(Assumptions!$C:$E,MATCH("Support cost per active user",Assumptions!$B:$B,0),MATCH(B8,Assumptions!$C$3:$E$3,0))</f>
      </c>
      <c r="I8">
        <f>INDEX(Assumptions!$C:$E,MATCH("Monthly product/dev/ops cost",Assumptions!$B:$B,0),MATCH(B8,Assumptions!$C$3:$E$3,0))</f>
      </c>
      <c r="J8">
        <f>INDEX(Assumptions!$C:$E,MATCH("Monthly legal/compliance reserve",Assumptions!$B:$B,0),MATCH(B8,Assumptions!$C$3:$E$3,0))</f>
      </c>
      <c r="K8">
        <f>INDEX(Assumptions!$C:$E,MATCH("Monthly oracle/data cost",Assumptions!$B:$B,0),MATCH(B8,Assumptions!$C$3:$E$3,0))</f>
      </c>
      <c r="L8">
        <f>INDEX(Assumptions!$C:$E,MATCH("Monthly infrastructure cost",Assumptions!$B:$B,0),MATCH(B8,Assumptions!$C$3:$E$3,0))</f>
      </c>
      <c r="M8">
        <f>INDEX(Assumptions!$C:$E,MATCH("Monthly audit/security reserve",Assumptions!$B:$B,0),MATCH(B8,Assumptions!$C$3:$E$3,0))</f>
      </c>
      <c r="N8">
        <f>INDEX(Assumptions!$C:$E,MATCH("Monthly jackpot top-up reserve",Assumptions!$B:$B,0),MATCH(B8,Assumptions!$C$3:$E$3,0))</f>
      </c>
      <c r="O8">
        <f>SUM(E8)</f>
      </c>
    </row>
    <row r="9">
      <c r="A9">
        <v>8</v>
      </c>
      <c r="B9" t="inlineStr">
        <is>
          <t>Conservative</t>
        </is>
      </c>
      <c r="C9">
        <f>SUMIFS(Funnel!$H:$H,Funnel!$A:$A,A9,Funnel!$B:$B,B9)</f>
      </c>
      <c r="D9">
        <f>SUMIFS(Funnel!$J:$J,Funnel!$A:$A,A9,Funnel!$B:$B,B9)</f>
      </c>
      <c r="E9">
        <f>C9*INDEX(Assumptions!$C:$E,MATCH("Partner share of first buyers",Assumptions!$B:$B,0),MATCH(B9,Assumptions!$C$3:$E$3,0))*INDEX(Assumptions!$C:$E,MATCH("CPA per qualified player",Assumptions!$B:$B,0),MATCH(B9,Assumptions!$C$3:$E$3,0))*INDEX(Assumptions!$C:$E,MATCH("CPA approved rate",Assumptions!$B:$B,0),MATCH(B9,Assumptions!$C$3:$E$3,0))</f>
      </c>
      <c r="F9">
        <f>INDEX(Assumptions!$C:$E,MATCH("Monthly marketing fixed budget",Assumptions!$B:$B,0),MATCH(B9,Assumptions!$C$3:$E$3,0))</f>
      </c>
      <c r="G9">
        <f>D9*INDEX(Assumptions!$C:$E,MATCH("KYC required rate",Assumptions!$B:$B,0),MATCH(B9,Assumptions!$C$3:$E$3,0))*INDEX(Assumptions!$C:$E,MATCH("KYC cost per checked user",Assumptions!$B:$B,0),MATCH(B9,Assumptions!$C$3:$E$3,0))</f>
      </c>
      <c r="H9">
        <f>D9*INDEX(Assumptions!$C:$E,MATCH("Support cost per active user",Assumptions!$B:$B,0),MATCH(B9,Assumptions!$C$3:$E$3,0))</f>
      </c>
      <c r="I9">
        <f>INDEX(Assumptions!$C:$E,MATCH("Monthly product/dev/ops cost",Assumptions!$B:$B,0),MATCH(B9,Assumptions!$C$3:$E$3,0))</f>
      </c>
      <c r="J9">
        <f>INDEX(Assumptions!$C:$E,MATCH("Monthly legal/compliance reserve",Assumptions!$B:$B,0),MATCH(B9,Assumptions!$C$3:$E$3,0))</f>
      </c>
      <c r="K9">
        <f>INDEX(Assumptions!$C:$E,MATCH("Monthly oracle/data cost",Assumptions!$B:$B,0),MATCH(B9,Assumptions!$C$3:$E$3,0))</f>
      </c>
      <c r="L9">
        <f>INDEX(Assumptions!$C:$E,MATCH("Monthly infrastructure cost",Assumptions!$B:$B,0),MATCH(B9,Assumptions!$C$3:$E$3,0))</f>
      </c>
      <c r="M9">
        <f>INDEX(Assumptions!$C:$E,MATCH("Monthly audit/security reserve",Assumptions!$B:$B,0),MATCH(B9,Assumptions!$C$3:$E$3,0))</f>
      </c>
      <c r="N9">
        <f>INDEX(Assumptions!$C:$E,MATCH("Monthly jackpot top-up reserve",Assumptions!$B:$B,0),MATCH(B9,Assumptions!$C$3:$E$3,0))</f>
      </c>
      <c r="O9">
        <f>SUM(E9)</f>
      </c>
    </row>
    <row r="10">
      <c r="A10">
        <v>9</v>
      </c>
      <c r="B10" t="inlineStr">
        <is>
          <t>Conservative</t>
        </is>
      </c>
      <c r="C10">
        <f>SUMIFS(Funnel!$H:$H,Funnel!$A:$A,A10,Funnel!$B:$B,B10)</f>
      </c>
      <c r="D10">
        <f>SUMIFS(Funnel!$J:$J,Funnel!$A:$A,A10,Funnel!$B:$B,B10)</f>
      </c>
      <c r="E10">
        <f>C10*INDEX(Assumptions!$C:$E,MATCH("Partner share of first buyers",Assumptions!$B:$B,0),MATCH(B10,Assumptions!$C$3:$E$3,0))*INDEX(Assumptions!$C:$E,MATCH("CPA per qualified player",Assumptions!$B:$B,0),MATCH(B10,Assumptions!$C$3:$E$3,0))*INDEX(Assumptions!$C:$E,MATCH("CPA approved rate",Assumptions!$B:$B,0),MATCH(B10,Assumptions!$C$3:$E$3,0))</f>
      </c>
      <c r="F10">
        <f>INDEX(Assumptions!$C:$E,MATCH("Monthly marketing fixed budget",Assumptions!$B:$B,0),MATCH(B10,Assumptions!$C$3:$E$3,0))</f>
      </c>
      <c r="G10">
        <f>D10*INDEX(Assumptions!$C:$E,MATCH("KYC required rate",Assumptions!$B:$B,0),MATCH(B10,Assumptions!$C$3:$E$3,0))*INDEX(Assumptions!$C:$E,MATCH("KYC cost per checked user",Assumptions!$B:$B,0),MATCH(B10,Assumptions!$C$3:$E$3,0))</f>
      </c>
      <c r="H10">
        <f>D10*INDEX(Assumptions!$C:$E,MATCH("Support cost per active user",Assumptions!$B:$B,0),MATCH(B10,Assumptions!$C$3:$E$3,0))</f>
      </c>
      <c r="I10">
        <f>INDEX(Assumptions!$C:$E,MATCH("Monthly product/dev/ops cost",Assumptions!$B:$B,0),MATCH(B10,Assumptions!$C$3:$E$3,0))</f>
      </c>
      <c r="J10">
        <f>INDEX(Assumptions!$C:$E,MATCH("Monthly legal/compliance reserve",Assumptions!$B:$B,0),MATCH(B10,Assumptions!$C$3:$E$3,0))</f>
      </c>
      <c r="K10">
        <f>INDEX(Assumptions!$C:$E,MATCH("Monthly oracle/data cost",Assumptions!$B:$B,0),MATCH(B10,Assumptions!$C$3:$E$3,0))</f>
      </c>
      <c r="L10">
        <f>INDEX(Assumptions!$C:$E,MATCH("Monthly infrastructure cost",Assumptions!$B:$B,0),MATCH(B10,Assumptions!$C$3:$E$3,0))</f>
      </c>
      <c r="M10">
        <f>INDEX(Assumptions!$C:$E,MATCH("Monthly audit/security reserve",Assumptions!$B:$B,0),MATCH(B10,Assumptions!$C$3:$E$3,0))</f>
      </c>
      <c r="N10">
        <f>INDEX(Assumptions!$C:$E,MATCH("Monthly jackpot top-up reserve",Assumptions!$B:$B,0),MATCH(B10,Assumptions!$C$3:$E$3,0))</f>
      </c>
      <c r="O10">
        <f>SUM(E10)</f>
      </c>
    </row>
    <row r="11">
      <c r="A11">
        <v>10</v>
      </c>
      <c r="B11" t="inlineStr">
        <is>
          <t>Conservative</t>
        </is>
      </c>
      <c r="C11">
        <f>SUMIFS(Funnel!$H:$H,Funnel!$A:$A,A11,Funnel!$B:$B,B11)</f>
      </c>
      <c r="D11">
        <f>SUMIFS(Funnel!$J:$J,Funnel!$A:$A,A11,Funnel!$B:$B,B11)</f>
      </c>
      <c r="E11">
        <f>C11*INDEX(Assumptions!$C:$E,MATCH("Partner share of first buyers",Assumptions!$B:$B,0),MATCH(B11,Assumptions!$C$3:$E$3,0))*INDEX(Assumptions!$C:$E,MATCH("CPA per qualified player",Assumptions!$B:$B,0),MATCH(B11,Assumptions!$C$3:$E$3,0))*INDEX(Assumptions!$C:$E,MATCH("CPA approved rate",Assumptions!$B:$B,0),MATCH(B11,Assumptions!$C$3:$E$3,0))</f>
      </c>
      <c r="F11">
        <f>INDEX(Assumptions!$C:$E,MATCH("Monthly marketing fixed budget",Assumptions!$B:$B,0),MATCH(B11,Assumptions!$C$3:$E$3,0))</f>
      </c>
      <c r="G11">
        <f>D11*INDEX(Assumptions!$C:$E,MATCH("KYC required rate",Assumptions!$B:$B,0),MATCH(B11,Assumptions!$C$3:$E$3,0))*INDEX(Assumptions!$C:$E,MATCH("KYC cost per checked user",Assumptions!$B:$B,0),MATCH(B11,Assumptions!$C$3:$E$3,0))</f>
      </c>
      <c r="H11">
        <f>D11*INDEX(Assumptions!$C:$E,MATCH("Support cost per active user",Assumptions!$B:$B,0),MATCH(B11,Assumptions!$C$3:$E$3,0))</f>
      </c>
      <c r="I11">
        <f>INDEX(Assumptions!$C:$E,MATCH("Monthly product/dev/ops cost",Assumptions!$B:$B,0),MATCH(B11,Assumptions!$C$3:$E$3,0))</f>
      </c>
      <c r="J11">
        <f>INDEX(Assumptions!$C:$E,MATCH("Monthly legal/compliance reserve",Assumptions!$B:$B,0),MATCH(B11,Assumptions!$C$3:$E$3,0))</f>
      </c>
      <c r="K11">
        <f>INDEX(Assumptions!$C:$E,MATCH("Monthly oracle/data cost",Assumptions!$B:$B,0),MATCH(B11,Assumptions!$C$3:$E$3,0))</f>
      </c>
      <c r="L11">
        <f>INDEX(Assumptions!$C:$E,MATCH("Monthly infrastructure cost",Assumptions!$B:$B,0),MATCH(B11,Assumptions!$C$3:$E$3,0))</f>
      </c>
      <c r="M11">
        <f>INDEX(Assumptions!$C:$E,MATCH("Monthly audit/security reserve",Assumptions!$B:$B,0),MATCH(B11,Assumptions!$C$3:$E$3,0))</f>
      </c>
      <c r="N11">
        <f>INDEX(Assumptions!$C:$E,MATCH("Monthly jackpot top-up reserve",Assumptions!$B:$B,0),MATCH(B11,Assumptions!$C$3:$E$3,0))</f>
      </c>
      <c r="O11">
        <f>SUM(E11)</f>
      </c>
    </row>
    <row r="12">
      <c r="A12">
        <v>11</v>
      </c>
      <c r="B12" t="inlineStr">
        <is>
          <t>Conservative</t>
        </is>
      </c>
      <c r="C12">
        <f>SUMIFS(Funnel!$H:$H,Funnel!$A:$A,A12,Funnel!$B:$B,B12)</f>
      </c>
      <c r="D12">
        <f>SUMIFS(Funnel!$J:$J,Funnel!$A:$A,A12,Funnel!$B:$B,B12)</f>
      </c>
      <c r="E12">
        <f>C12*INDEX(Assumptions!$C:$E,MATCH("Partner share of first buyers",Assumptions!$B:$B,0),MATCH(B12,Assumptions!$C$3:$E$3,0))*INDEX(Assumptions!$C:$E,MATCH("CPA per qualified player",Assumptions!$B:$B,0),MATCH(B12,Assumptions!$C$3:$E$3,0))*INDEX(Assumptions!$C:$E,MATCH("CPA approved rate",Assumptions!$B:$B,0),MATCH(B12,Assumptions!$C$3:$E$3,0))</f>
      </c>
      <c r="F12">
        <f>INDEX(Assumptions!$C:$E,MATCH("Monthly marketing fixed budget",Assumptions!$B:$B,0),MATCH(B12,Assumptions!$C$3:$E$3,0))</f>
      </c>
      <c r="G12">
        <f>D12*INDEX(Assumptions!$C:$E,MATCH("KYC required rate",Assumptions!$B:$B,0),MATCH(B12,Assumptions!$C$3:$E$3,0))*INDEX(Assumptions!$C:$E,MATCH("KYC cost per checked user",Assumptions!$B:$B,0),MATCH(B12,Assumptions!$C$3:$E$3,0))</f>
      </c>
      <c r="H12">
        <f>D12*INDEX(Assumptions!$C:$E,MATCH("Support cost per active user",Assumptions!$B:$B,0),MATCH(B12,Assumptions!$C$3:$E$3,0))</f>
      </c>
      <c r="I12">
        <f>INDEX(Assumptions!$C:$E,MATCH("Monthly product/dev/ops cost",Assumptions!$B:$B,0),MATCH(B12,Assumptions!$C$3:$E$3,0))</f>
      </c>
      <c r="J12">
        <f>INDEX(Assumptions!$C:$E,MATCH("Monthly legal/compliance reserve",Assumptions!$B:$B,0),MATCH(B12,Assumptions!$C$3:$E$3,0))</f>
      </c>
      <c r="K12">
        <f>INDEX(Assumptions!$C:$E,MATCH("Monthly oracle/data cost",Assumptions!$B:$B,0),MATCH(B12,Assumptions!$C$3:$E$3,0))</f>
      </c>
      <c r="L12">
        <f>INDEX(Assumptions!$C:$E,MATCH("Monthly infrastructure cost",Assumptions!$B:$B,0),MATCH(B12,Assumptions!$C$3:$E$3,0))</f>
      </c>
      <c r="M12">
        <f>INDEX(Assumptions!$C:$E,MATCH("Monthly audit/security reserve",Assumptions!$B:$B,0),MATCH(B12,Assumptions!$C$3:$E$3,0))</f>
      </c>
      <c r="N12">
        <f>INDEX(Assumptions!$C:$E,MATCH("Monthly jackpot top-up reserve",Assumptions!$B:$B,0),MATCH(B12,Assumptions!$C$3:$E$3,0))</f>
      </c>
      <c r="O12">
        <f>SUM(E12)</f>
      </c>
    </row>
    <row r="13">
      <c r="A13">
        <v>12</v>
      </c>
      <c r="B13" t="inlineStr">
        <is>
          <t>Conservative</t>
        </is>
      </c>
      <c r="C13">
        <f>SUMIFS(Funnel!$H:$H,Funnel!$A:$A,A13,Funnel!$B:$B,B13)</f>
      </c>
      <c r="D13">
        <f>SUMIFS(Funnel!$J:$J,Funnel!$A:$A,A13,Funnel!$B:$B,B13)</f>
      </c>
      <c r="E13">
        <f>C13*INDEX(Assumptions!$C:$E,MATCH("Partner share of first buyers",Assumptions!$B:$B,0),MATCH(B13,Assumptions!$C$3:$E$3,0))*INDEX(Assumptions!$C:$E,MATCH("CPA per qualified player",Assumptions!$B:$B,0),MATCH(B13,Assumptions!$C$3:$E$3,0))*INDEX(Assumptions!$C:$E,MATCH("CPA approved rate",Assumptions!$B:$B,0),MATCH(B13,Assumptions!$C$3:$E$3,0))</f>
      </c>
      <c r="F13">
        <f>INDEX(Assumptions!$C:$E,MATCH("Monthly marketing fixed budget",Assumptions!$B:$B,0),MATCH(B13,Assumptions!$C$3:$E$3,0))</f>
      </c>
      <c r="G13">
        <f>D13*INDEX(Assumptions!$C:$E,MATCH("KYC required rate",Assumptions!$B:$B,0),MATCH(B13,Assumptions!$C$3:$E$3,0))*INDEX(Assumptions!$C:$E,MATCH("KYC cost per checked user",Assumptions!$B:$B,0),MATCH(B13,Assumptions!$C$3:$E$3,0))</f>
      </c>
      <c r="H13">
        <f>D13*INDEX(Assumptions!$C:$E,MATCH("Support cost per active user",Assumptions!$B:$B,0),MATCH(B13,Assumptions!$C$3:$E$3,0))</f>
      </c>
      <c r="I13">
        <f>INDEX(Assumptions!$C:$E,MATCH("Monthly product/dev/ops cost",Assumptions!$B:$B,0),MATCH(B13,Assumptions!$C$3:$E$3,0))</f>
      </c>
      <c r="J13">
        <f>INDEX(Assumptions!$C:$E,MATCH("Monthly legal/compliance reserve",Assumptions!$B:$B,0),MATCH(B13,Assumptions!$C$3:$E$3,0))</f>
      </c>
      <c r="K13">
        <f>INDEX(Assumptions!$C:$E,MATCH("Monthly oracle/data cost",Assumptions!$B:$B,0),MATCH(B13,Assumptions!$C$3:$E$3,0))</f>
      </c>
      <c r="L13">
        <f>INDEX(Assumptions!$C:$E,MATCH("Monthly infrastructure cost",Assumptions!$B:$B,0),MATCH(B13,Assumptions!$C$3:$E$3,0))</f>
      </c>
      <c r="M13">
        <f>INDEX(Assumptions!$C:$E,MATCH("Monthly audit/security reserve",Assumptions!$B:$B,0),MATCH(B13,Assumptions!$C$3:$E$3,0))</f>
      </c>
      <c r="N13">
        <f>INDEX(Assumptions!$C:$E,MATCH("Monthly jackpot top-up reserve",Assumptions!$B:$B,0),MATCH(B13,Assumptions!$C$3:$E$3,0))</f>
      </c>
      <c r="O13">
        <f>SUM(E13)</f>
      </c>
    </row>
    <row r="14">
      <c r="A14">
        <v>13</v>
      </c>
      <c r="B14" t="inlineStr">
        <is>
          <t>Conservative</t>
        </is>
      </c>
      <c r="C14">
        <f>SUMIFS(Funnel!$H:$H,Funnel!$A:$A,A14,Funnel!$B:$B,B14)</f>
      </c>
      <c r="D14">
        <f>SUMIFS(Funnel!$J:$J,Funnel!$A:$A,A14,Funnel!$B:$B,B14)</f>
      </c>
      <c r="E14">
        <f>C14*INDEX(Assumptions!$C:$E,MATCH("Partner share of first buyers",Assumptions!$B:$B,0),MATCH(B14,Assumptions!$C$3:$E$3,0))*INDEX(Assumptions!$C:$E,MATCH("CPA per qualified player",Assumptions!$B:$B,0),MATCH(B14,Assumptions!$C$3:$E$3,0))*INDEX(Assumptions!$C:$E,MATCH("CPA approved rate",Assumptions!$B:$B,0),MATCH(B14,Assumptions!$C$3:$E$3,0))</f>
      </c>
      <c r="F14">
        <f>INDEX(Assumptions!$C:$E,MATCH("Monthly marketing fixed budget",Assumptions!$B:$B,0),MATCH(B14,Assumptions!$C$3:$E$3,0))</f>
      </c>
      <c r="G14">
        <f>D14*INDEX(Assumptions!$C:$E,MATCH("KYC required rate",Assumptions!$B:$B,0),MATCH(B14,Assumptions!$C$3:$E$3,0))*INDEX(Assumptions!$C:$E,MATCH("KYC cost per checked user",Assumptions!$B:$B,0),MATCH(B14,Assumptions!$C$3:$E$3,0))</f>
      </c>
      <c r="H14">
        <f>D14*INDEX(Assumptions!$C:$E,MATCH("Support cost per active user",Assumptions!$B:$B,0),MATCH(B14,Assumptions!$C$3:$E$3,0))</f>
      </c>
      <c r="I14">
        <f>INDEX(Assumptions!$C:$E,MATCH("Monthly product/dev/ops cost",Assumptions!$B:$B,0),MATCH(B14,Assumptions!$C$3:$E$3,0))</f>
      </c>
      <c r="J14">
        <f>INDEX(Assumptions!$C:$E,MATCH("Monthly legal/compliance reserve",Assumptions!$B:$B,0),MATCH(B14,Assumptions!$C$3:$E$3,0))</f>
      </c>
      <c r="K14">
        <f>INDEX(Assumptions!$C:$E,MATCH("Monthly oracle/data cost",Assumptions!$B:$B,0),MATCH(B14,Assumptions!$C$3:$E$3,0))</f>
      </c>
      <c r="L14">
        <f>INDEX(Assumptions!$C:$E,MATCH("Monthly infrastructure cost",Assumptions!$B:$B,0),MATCH(B14,Assumptions!$C$3:$E$3,0))</f>
      </c>
      <c r="M14">
        <f>INDEX(Assumptions!$C:$E,MATCH("Monthly audit/security reserve",Assumptions!$B:$B,0),MATCH(B14,Assumptions!$C$3:$E$3,0))</f>
      </c>
      <c r="N14">
        <f>INDEX(Assumptions!$C:$E,MATCH("Monthly jackpot top-up reserve",Assumptions!$B:$B,0),MATCH(B14,Assumptions!$C$3:$E$3,0))</f>
      </c>
      <c r="O14">
        <f>SUM(E14)</f>
      </c>
    </row>
    <row r="15">
      <c r="A15">
        <v>14</v>
      </c>
      <c r="B15" t="inlineStr">
        <is>
          <t>Conservative</t>
        </is>
      </c>
      <c r="C15">
        <f>SUMIFS(Funnel!$H:$H,Funnel!$A:$A,A15,Funnel!$B:$B,B15)</f>
      </c>
      <c r="D15">
        <f>SUMIFS(Funnel!$J:$J,Funnel!$A:$A,A15,Funnel!$B:$B,B15)</f>
      </c>
      <c r="E15">
        <f>C15*INDEX(Assumptions!$C:$E,MATCH("Partner share of first buyers",Assumptions!$B:$B,0),MATCH(B15,Assumptions!$C$3:$E$3,0))*INDEX(Assumptions!$C:$E,MATCH("CPA per qualified player",Assumptions!$B:$B,0),MATCH(B15,Assumptions!$C$3:$E$3,0))*INDEX(Assumptions!$C:$E,MATCH("CPA approved rate",Assumptions!$B:$B,0),MATCH(B15,Assumptions!$C$3:$E$3,0))</f>
      </c>
      <c r="F15">
        <f>INDEX(Assumptions!$C:$E,MATCH("Monthly marketing fixed budget",Assumptions!$B:$B,0),MATCH(B15,Assumptions!$C$3:$E$3,0))</f>
      </c>
      <c r="G15">
        <f>D15*INDEX(Assumptions!$C:$E,MATCH("KYC required rate",Assumptions!$B:$B,0),MATCH(B15,Assumptions!$C$3:$E$3,0))*INDEX(Assumptions!$C:$E,MATCH("KYC cost per checked user",Assumptions!$B:$B,0),MATCH(B15,Assumptions!$C$3:$E$3,0))</f>
      </c>
      <c r="H15">
        <f>D15*INDEX(Assumptions!$C:$E,MATCH("Support cost per active user",Assumptions!$B:$B,0),MATCH(B15,Assumptions!$C$3:$E$3,0))</f>
      </c>
      <c r="I15">
        <f>INDEX(Assumptions!$C:$E,MATCH("Monthly product/dev/ops cost",Assumptions!$B:$B,0),MATCH(B15,Assumptions!$C$3:$E$3,0))</f>
      </c>
      <c r="J15">
        <f>INDEX(Assumptions!$C:$E,MATCH("Monthly legal/compliance reserve",Assumptions!$B:$B,0),MATCH(B15,Assumptions!$C$3:$E$3,0))</f>
      </c>
      <c r="K15">
        <f>INDEX(Assumptions!$C:$E,MATCH("Monthly oracle/data cost",Assumptions!$B:$B,0),MATCH(B15,Assumptions!$C$3:$E$3,0))</f>
      </c>
      <c r="L15">
        <f>INDEX(Assumptions!$C:$E,MATCH("Monthly infrastructure cost",Assumptions!$B:$B,0),MATCH(B15,Assumptions!$C$3:$E$3,0))</f>
      </c>
      <c r="M15">
        <f>INDEX(Assumptions!$C:$E,MATCH("Monthly audit/security reserve",Assumptions!$B:$B,0),MATCH(B15,Assumptions!$C$3:$E$3,0))</f>
      </c>
      <c r="N15">
        <f>INDEX(Assumptions!$C:$E,MATCH("Monthly jackpot top-up reserve",Assumptions!$B:$B,0),MATCH(B15,Assumptions!$C$3:$E$3,0))</f>
      </c>
      <c r="O15">
        <f>SUM(E15)</f>
      </c>
    </row>
    <row r="16">
      <c r="A16">
        <v>15</v>
      </c>
      <c r="B16" t="inlineStr">
        <is>
          <t>Conservative</t>
        </is>
      </c>
      <c r="C16">
        <f>SUMIFS(Funnel!$H:$H,Funnel!$A:$A,A16,Funnel!$B:$B,B16)</f>
      </c>
      <c r="D16">
        <f>SUMIFS(Funnel!$J:$J,Funnel!$A:$A,A16,Funnel!$B:$B,B16)</f>
      </c>
      <c r="E16">
        <f>C16*INDEX(Assumptions!$C:$E,MATCH("Partner share of first buyers",Assumptions!$B:$B,0),MATCH(B16,Assumptions!$C$3:$E$3,0))*INDEX(Assumptions!$C:$E,MATCH("CPA per qualified player",Assumptions!$B:$B,0),MATCH(B16,Assumptions!$C$3:$E$3,0))*INDEX(Assumptions!$C:$E,MATCH("CPA approved rate",Assumptions!$B:$B,0),MATCH(B16,Assumptions!$C$3:$E$3,0))</f>
      </c>
      <c r="F16">
        <f>INDEX(Assumptions!$C:$E,MATCH("Monthly marketing fixed budget",Assumptions!$B:$B,0),MATCH(B16,Assumptions!$C$3:$E$3,0))</f>
      </c>
      <c r="G16">
        <f>D16*INDEX(Assumptions!$C:$E,MATCH("KYC required rate",Assumptions!$B:$B,0),MATCH(B16,Assumptions!$C$3:$E$3,0))*INDEX(Assumptions!$C:$E,MATCH("KYC cost per checked user",Assumptions!$B:$B,0),MATCH(B16,Assumptions!$C$3:$E$3,0))</f>
      </c>
      <c r="H16">
        <f>D16*INDEX(Assumptions!$C:$E,MATCH("Support cost per active user",Assumptions!$B:$B,0),MATCH(B16,Assumptions!$C$3:$E$3,0))</f>
      </c>
      <c r="I16">
        <f>INDEX(Assumptions!$C:$E,MATCH("Monthly product/dev/ops cost",Assumptions!$B:$B,0),MATCH(B16,Assumptions!$C$3:$E$3,0))</f>
      </c>
      <c r="J16">
        <f>INDEX(Assumptions!$C:$E,MATCH("Monthly legal/compliance reserve",Assumptions!$B:$B,0),MATCH(B16,Assumptions!$C$3:$E$3,0))</f>
      </c>
      <c r="K16">
        <f>INDEX(Assumptions!$C:$E,MATCH("Monthly oracle/data cost",Assumptions!$B:$B,0),MATCH(B16,Assumptions!$C$3:$E$3,0))</f>
      </c>
      <c r="L16">
        <f>INDEX(Assumptions!$C:$E,MATCH("Monthly infrastructure cost",Assumptions!$B:$B,0),MATCH(B16,Assumptions!$C$3:$E$3,0))</f>
      </c>
      <c r="M16">
        <f>INDEX(Assumptions!$C:$E,MATCH("Monthly audit/security reserve",Assumptions!$B:$B,0),MATCH(B16,Assumptions!$C$3:$E$3,0))</f>
      </c>
      <c r="N16">
        <f>INDEX(Assumptions!$C:$E,MATCH("Monthly jackpot top-up reserve",Assumptions!$B:$B,0),MATCH(B16,Assumptions!$C$3:$E$3,0))</f>
      </c>
      <c r="O16">
        <f>SUM(E16)</f>
      </c>
    </row>
    <row r="17">
      <c r="A17">
        <v>16</v>
      </c>
      <c r="B17" t="inlineStr">
        <is>
          <t>Conservative</t>
        </is>
      </c>
      <c r="C17">
        <f>SUMIFS(Funnel!$H:$H,Funnel!$A:$A,A17,Funnel!$B:$B,B17)</f>
      </c>
      <c r="D17">
        <f>SUMIFS(Funnel!$J:$J,Funnel!$A:$A,A17,Funnel!$B:$B,B17)</f>
      </c>
      <c r="E17">
        <f>C17*INDEX(Assumptions!$C:$E,MATCH("Partner share of first buyers",Assumptions!$B:$B,0),MATCH(B17,Assumptions!$C$3:$E$3,0))*INDEX(Assumptions!$C:$E,MATCH("CPA per qualified player",Assumptions!$B:$B,0),MATCH(B17,Assumptions!$C$3:$E$3,0))*INDEX(Assumptions!$C:$E,MATCH("CPA approved rate",Assumptions!$B:$B,0),MATCH(B17,Assumptions!$C$3:$E$3,0))</f>
      </c>
      <c r="F17">
        <f>INDEX(Assumptions!$C:$E,MATCH("Monthly marketing fixed budget",Assumptions!$B:$B,0),MATCH(B17,Assumptions!$C$3:$E$3,0))</f>
      </c>
      <c r="G17">
        <f>D17*INDEX(Assumptions!$C:$E,MATCH("KYC required rate",Assumptions!$B:$B,0),MATCH(B17,Assumptions!$C$3:$E$3,0))*INDEX(Assumptions!$C:$E,MATCH("KYC cost per checked user",Assumptions!$B:$B,0),MATCH(B17,Assumptions!$C$3:$E$3,0))</f>
      </c>
      <c r="H17">
        <f>D17*INDEX(Assumptions!$C:$E,MATCH("Support cost per active user",Assumptions!$B:$B,0),MATCH(B17,Assumptions!$C$3:$E$3,0))</f>
      </c>
      <c r="I17">
        <f>INDEX(Assumptions!$C:$E,MATCH("Monthly product/dev/ops cost",Assumptions!$B:$B,0),MATCH(B17,Assumptions!$C$3:$E$3,0))</f>
      </c>
      <c r="J17">
        <f>INDEX(Assumptions!$C:$E,MATCH("Monthly legal/compliance reserve",Assumptions!$B:$B,0),MATCH(B17,Assumptions!$C$3:$E$3,0))</f>
      </c>
      <c r="K17">
        <f>INDEX(Assumptions!$C:$E,MATCH("Monthly oracle/data cost",Assumptions!$B:$B,0),MATCH(B17,Assumptions!$C$3:$E$3,0))</f>
      </c>
      <c r="L17">
        <f>INDEX(Assumptions!$C:$E,MATCH("Monthly infrastructure cost",Assumptions!$B:$B,0),MATCH(B17,Assumptions!$C$3:$E$3,0))</f>
      </c>
      <c r="M17">
        <f>INDEX(Assumptions!$C:$E,MATCH("Monthly audit/security reserve",Assumptions!$B:$B,0),MATCH(B17,Assumptions!$C$3:$E$3,0))</f>
      </c>
      <c r="N17">
        <f>INDEX(Assumptions!$C:$E,MATCH("Monthly jackpot top-up reserve",Assumptions!$B:$B,0),MATCH(B17,Assumptions!$C$3:$E$3,0))</f>
      </c>
      <c r="O17">
        <f>SUM(E17)</f>
      </c>
    </row>
    <row r="18">
      <c r="A18">
        <v>17</v>
      </c>
      <c r="B18" t="inlineStr">
        <is>
          <t>Conservative</t>
        </is>
      </c>
      <c r="C18">
        <f>SUMIFS(Funnel!$H:$H,Funnel!$A:$A,A18,Funnel!$B:$B,B18)</f>
      </c>
      <c r="D18">
        <f>SUMIFS(Funnel!$J:$J,Funnel!$A:$A,A18,Funnel!$B:$B,B18)</f>
      </c>
      <c r="E18">
        <f>C18*INDEX(Assumptions!$C:$E,MATCH("Partner share of first buyers",Assumptions!$B:$B,0),MATCH(B18,Assumptions!$C$3:$E$3,0))*INDEX(Assumptions!$C:$E,MATCH("CPA per qualified player",Assumptions!$B:$B,0),MATCH(B18,Assumptions!$C$3:$E$3,0))*INDEX(Assumptions!$C:$E,MATCH("CPA approved rate",Assumptions!$B:$B,0),MATCH(B18,Assumptions!$C$3:$E$3,0))</f>
      </c>
      <c r="F18">
        <f>INDEX(Assumptions!$C:$E,MATCH("Monthly marketing fixed budget",Assumptions!$B:$B,0),MATCH(B18,Assumptions!$C$3:$E$3,0))</f>
      </c>
      <c r="G18">
        <f>D18*INDEX(Assumptions!$C:$E,MATCH("KYC required rate",Assumptions!$B:$B,0),MATCH(B18,Assumptions!$C$3:$E$3,0))*INDEX(Assumptions!$C:$E,MATCH("KYC cost per checked user",Assumptions!$B:$B,0),MATCH(B18,Assumptions!$C$3:$E$3,0))</f>
      </c>
      <c r="H18">
        <f>D18*INDEX(Assumptions!$C:$E,MATCH("Support cost per active user",Assumptions!$B:$B,0),MATCH(B18,Assumptions!$C$3:$E$3,0))</f>
      </c>
      <c r="I18">
        <f>INDEX(Assumptions!$C:$E,MATCH("Monthly product/dev/ops cost",Assumptions!$B:$B,0),MATCH(B18,Assumptions!$C$3:$E$3,0))</f>
      </c>
      <c r="J18">
        <f>INDEX(Assumptions!$C:$E,MATCH("Monthly legal/compliance reserve",Assumptions!$B:$B,0),MATCH(B18,Assumptions!$C$3:$E$3,0))</f>
      </c>
      <c r="K18">
        <f>INDEX(Assumptions!$C:$E,MATCH("Monthly oracle/data cost",Assumptions!$B:$B,0),MATCH(B18,Assumptions!$C$3:$E$3,0))</f>
      </c>
      <c r="L18">
        <f>INDEX(Assumptions!$C:$E,MATCH("Monthly infrastructure cost",Assumptions!$B:$B,0),MATCH(B18,Assumptions!$C$3:$E$3,0))</f>
      </c>
      <c r="M18">
        <f>INDEX(Assumptions!$C:$E,MATCH("Monthly audit/security reserve",Assumptions!$B:$B,0),MATCH(B18,Assumptions!$C$3:$E$3,0))</f>
      </c>
      <c r="N18">
        <f>INDEX(Assumptions!$C:$E,MATCH("Monthly jackpot top-up reserve",Assumptions!$B:$B,0),MATCH(B18,Assumptions!$C$3:$E$3,0))</f>
      </c>
      <c r="O18">
        <f>SUM(E18)</f>
      </c>
    </row>
    <row r="19">
      <c r="A19">
        <v>18</v>
      </c>
      <c r="B19" t="inlineStr">
        <is>
          <t>Conservative</t>
        </is>
      </c>
      <c r="C19">
        <f>SUMIFS(Funnel!$H:$H,Funnel!$A:$A,A19,Funnel!$B:$B,B19)</f>
      </c>
      <c r="D19">
        <f>SUMIFS(Funnel!$J:$J,Funnel!$A:$A,A19,Funnel!$B:$B,B19)</f>
      </c>
      <c r="E19">
        <f>C19*INDEX(Assumptions!$C:$E,MATCH("Partner share of first buyers",Assumptions!$B:$B,0),MATCH(B19,Assumptions!$C$3:$E$3,0))*INDEX(Assumptions!$C:$E,MATCH("CPA per qualified player",Assumptions!$B:$B,0),MATCH(B19,Assumptions!$C$3:$E$3,0))*INDEX(Assumptions!$C:$E,MATCH("CPA approved rate",Assumptions!$B:$B,0),MATCH(B19,Assumptions!$C$3:$E$3,0))</f>
      </c>
      <c r="F19">
        <f>INDEX(Assumptions!$C:$E,MATCH("Monthly marketing fixed budget",Assumptions!$B:$B,0),MATCH(B19,Assumptions!$C$3:$E$3,0))</f>
      </c>
      <c r="G19">
        <f>D19*INDEX(Assumptions!$C:$E,MATCH("KYC required rate",Assumptions!$B:$B,0),MATCH(B19,Assumptions!$C$3:$E$3,0))*INDEX(Assumptions!$C:$E,MATCH("KYC cost per checked user",Assumptions!$B:$B,0),MATCH(B19,Assumptions!$C$3:$E$3,0))</f>
      </c>
      <c r="H19">
        <f>D19*INDEX(Assumptions!$C:$E,MATCH("Support cost per active user",Assumptions!$B:$B,0),MATCH(B19,Assumptions!$C$3:$E$3,0))</f>
      </c>
      <c r="I19">
        <f>INDEX(Assumptions!$C:$E,MATCH("Monthly product/dev/ops cost",Assumptions!$B:$B,0),MATCH(B19,Assumptions!$C$3:$E$3,0))</f>
      </c>
      <c r="J19">
        <f>INDEX(Assumptions!$C:$E,MATCH("Monthly legal/compliance reserve",Assumptions!$B:$B,0),MATCH(B19,Assumptions!$C$3:$E$3,0))</f>
      </c>
      <c r="K19">
        <f>INDEX(Assumptions!$C:$E,MATCH("Monthly oracle/data cost",Assumptions!$B:$B,0),MATCH(B19,Assumptions!$C$3:$E$3,0))</f>
      </c>
      <c r="L19">
        <f>INDEX(Assumptions!$C:$E,MATCH("Monthly infrastructure cost",Assumptions!$B:$B,0),MATCH(B19,Assumptions!$C$3:$E$3,0))</f>
      </c>
      <c r="M19">
        <f>INDEX(Assumptions!$C:$E,MATCH("Monthly audit/security reserve",Assumptions!$B:$B,0),MATCH(B19,Assumptions!$C$3:$E$3,0))</f>
      </c>
      <c r="N19">
        <f>INDEX(Assumptions!$C:$E,MATCH("Monthly jackpot top-up reserve",Assumptions!$B:$B,0),MATCH(B19,Assumptions!$C$3:$E$3,0))</f>
      </c>
      <c r="O19">
        <f>SUM(E19)</f>
      </c>
    </row>
    <row r="20">
      <c r="A20">
        <v>19</v>
      </c>
      <c r="B20" t="inlineStr">
        <is>
          <t>Conservative</t>
        </is>
      </c>
      <c r="C20">
        <f>SUMIFS(Funnel!$H:$H,Funnel!$A:$A,A20,Funnel!$B:$B,B20)</f>
      </c>
      <c r="D20">
        <f>SUMIFS(Funnel!$J:$J,Funnel!$A:$A,A20,Funnel!$B:$B,B20)</f>
      </c>
      <c r="E20">
        <f>C20*INDEX(Assumptions!$C:$E,MATCH("Partner share of first buyers",Assumptions!$B:$B,0),MATCH(B20,Assumptions!$C$3:$E$3,0))*INDEX(Assumptions!$C:$E,MATCH("CPA per qualified player",Assumptions!$B:$B,0),MATCH(B20,Assumptions!$C$3:$E$3,0))*INDEX(Assumptions!$C:$E,MATCH("CPA approved rate",Assumptions!$B:$B,0),MATCH(B20,Assumptions!$C$3:$E$3,0))</f>
      </c>
      <c r="F20">
        <f>INDEX(Assumptions!$C:$E,MATCH("Monthly marketing fixed budget",Assumptions!$B:$B,0),MATCH(B20,Assumptions!$C$3:$E$3,0))</f>
      </c>
      <c r="G20">
        <f>D20*INDEX(Assumptions!$C:$E,MATCH("KYC required rate",Assumptions!$B:$B,0),MATCH(B20,Assumptions!$C$3:$E$3,0))*INDEX(Assumptions!$C:$E,MATCH("KYC cost per checked user",Assumptions!$B:$B,0),MATCH(B20,Assumptions!$C$3:$E$3,0))</f>
      </c>
      <c r="H20">
        <f>D20*INDEX(Assumptions!$C:$E,MATCH("Support cost per active user",Assumptions!$B:$B,0),MATCH(B20,Assumptions!$C$3:$E$3,0))</f>
      </c>
      <c r="I20">
        <f>INDEX(Assumptions!$C:$E,MATCH("Monthly product/dev/ops cost",Assumptions!$B:$B,0),MATCH(B20,Assumptions!$C$3:$E$3,0))</f>
      </c>
      <c r="J20">
        <f>INDEX(Assumptions!$C:$E,MATCH("Monthly legal/compliance reserve",Assumptions!$B:$B,0),MATCH(B20,Assumptions!$C$3:$E$3,0))</f>
      </c>
      <c r="K20">
        <f>INDEX(Assumptions!$C:$E,MATCH("Monthly oracle/data cost",Assumptions!$B:$B,0),MATCH(B20,Assumptions!$C$3:$E$3,0))</f>
      </c>
      <c r="L20">
        <f>INDEX(Assumptions!$C:$E,MATCH("Monthly infrastructure cost",Assumptions!$B:$B,0),MATCH(B20,Assumptions!$C$3:$E$3,0))</f>
      </c>
      <c r="M20">
        <f>INDEX(Assumptions!$C:$E,MATCH("Monthly audit/security reserve",Assumptions!$B:$B,0),MATCH(B20,Assumptions!$C$3:$E$3,0))</f>
      </c>
      <c r="N20">
        <f>INDEX(Assumptions!$C:$E,MATCH("Monthly jackpot top-up reserve",Assumptions!$B:$B,0),MATCH(B20,Assumptions!$C$3:$E$3,0))</f>
      </c>
      <c r="O20">
        <f>SUM(E20)</f>
      </c>
    </row>
    <row r="21">
      <c r="A21">
        <v>20</v>
      </c>
      <c r="B21" t="inlineStr">
        <is>
          <t>Conservative</t>
        </is>
      </c>
      <c r="C21">
        <f>SUMIFS(Funnel!$H:$H,Funnel!$A:$A,A21,Funnel!$B:$B,B21)</f>
      </c>
      <c r="D21">
        <f>SUMIFS(Funnel!$J:$J,Funnel!$A:$A,A21,Funnel!$B:$B,B21)</f>
      </c>
      <c r="E21">
        <f>C21*INDEX(Assumptions!$C:$E,MATCH("Partner share of first buyers",Assumptions!$B:$B,0),MATCH(B21,Assumptions!$C$3:$E$3,0))*INDEX(Assumptions!$C:$E,MATCH("CPA per qualified player",Assumptions!$B:$B,0),MATCH(B21,Assumptions!$C$3:$E$3,0))*INDEX(Assumptions!$C:$E,MATCH("CPA approved rate",Assumptions!$B:$B,0),MATCH(B21,Assumptions!$C$3:$E$3,0))</f>
      </c>
      <c r="F21">
        <f>INDEX(Assumptions!$C:$E,MATCH("Monthly marketing fixed budget",Assumptions!$B:$B,0),MATCH(B21,Assumptions!$C$3:$E$3,0))</f>
      </c>
      <c r="G21">
        <f>D21*INDEX(Assumptions!$C:$E,MATCH("KYC required rate",Assumptions!$B:$B,0),MATCH(B21,Assumptions!$C$3:$E$3,0))*INDEX(Assumptions!$C:$E,MATCH("KYC cost per checked user",Assumptions!$B:$B,0),MATCH(B21,Assumptions!$C$3:$E$3,0))</f>
      </c>
      <c r="H21">
        <f>D21*INDEX(Assumptions!$C:$E,MATCH("Support cost per active user",Assumptions!$B:$B,0),MATCH(B21,Assumptions!$C$3:$E$3,0))</f>
      </c>
      <c r="I21">
        <f>INDEX(Assumptions!$C:$E,MATCH("Monthly product/dev/ops cost",Assumptions!$B:$B,0),MATCH(B21,Assumptions!$C$3:$E$3,0))</f>
      </c>
      <c r="J21">
        <f>INDEX(Assumptions!$C:$E,MATCH("Monthly legal/compliance reserve",Assumptions!$B:$B,0),MATCH(B21,Assumptions!$C$3:$E$3,0))</f>
      </c>
      <c r="K21">
        <f>INDEX(Assumptions!$C:$E,MATCH("Monthly oracle/data cost",Assumptions!$B:$B,0),MATCH(B21,Assumptions!$C$3:$E$3,0))</f>
      </c>
      <c r="L21">
        <f>INDEX(Assumptions!$C:$E,MATCH("Monthly infrastructure cost",Assumptions!$B:$B,0),MATCH(B21,Assumptions!$C$3:$E$3,0))</f>
      </c>
      <c r="M21">
        <f>INDEX(Assumptions!$C:$E,MATCH("Monthly audit/security reserve",Assumptions!$B:$B,0),MATCH(B21,Assumptions!$C$3:$E$3,0))</f>
      </c>
      <c r="N21">
        <f>INDEX(Assumptions!$C:$E,MATCH("Monthly jackpot top-up reserve",Assumptions!$B:$B,0),MATCH(B21,Assumptions!$C$3:$E$3,0))</f>
      </c>
      <c r="O21">
        <f>SUM(E21)</f>
      </c>
    </row>
    <row r="22">
      <c r="A22">
        <v>21</v>
      </c>
      <c r="B22" t="inlineStr">
        <is>
          <t>Conservative</t>
        </is>
      </c>
      <c r="C22">
        <f>SUMIFS(Funnel!$H:$H,Funnel!$A:$A,A22,Funnel!$B:$B,B22)</f>
      </c>
      <c r="D22">
        <f>SUMIFS(Funnel!$J:$J,Funnel!$A:$A,A22,Funnel!$B:$B,B22)</f>
      </c>
      <c r="E22">
        <f>C22*INDEX(Assumptions!$C:$E,MATCH("Partner share of first buyers",Assumptions!$B:$B,0),MATCH(B22,Assumptions!$C$3:$E$3,0))*INDEX(Assumptions!$C:$E,MATCH("CPA per qualified player",Assumptions!$B:$B,0),MATCH(B22,Assumptions!$C$3:$E$3,0))*INDEX(Assumptions!$C:$E,MATCH("CPA approved rate",Assumptions!$B:$B,0),MATCH(B22,Assumptions!$C$3:$E$3,0))</f>
      </c>
      <c r="F22">
        <f>INDEX(Assumptions!$C:$E,MATCH("Monthly marketing fixed budget",Assumptions!$B:$B,0),MATCH(B22,Assumptions!$C$3:$E$3,0))</f>
      </c>
      <c r="G22">
        <f>D22*INDEX(Assumptions!$C:$E,MATCH("KYC required rate",Assumptions!$B:$B,0),MATCH(B22,Assumptions!$C$3:$E$3,0))*INDEX(Assumptions!$C:$E,MATCH("KYC cost per checked user",Assumptions!$B:$B,0),MATCH(B22,Assumptions!$C$3:$E$3,0))</f>
      </c>
      <c r="H22">
        <f>D22*INDEX(Assumptions!$C:$E,MATCH("Support cost per active user",Assumptions!$B:$B,0),MATCH(B22,Assumptions!$C$3:$E$3,0))</f>
      </c>
      <c r="I22">
        <f>INDEX(Assumptions!$C:$E,MATCH("Monthly product/dev/ops cost",Assumptions!$B:$B,0),MATCH(B22,Assumptions!$C$3:$E$3,0))</f>
      </c>
      <c r="J22">
        <f>INDEX(Assumptions!$C:$E,MATCH("Monthly legal/compliance reserve",Assumptions!$B:$B,0),MATCH(B22,Assumptions!$C$3:$E$3,0))</f>
      </c>
      <c r="K22">
        <f>INDEX(Assumptions!$C:$E,MATCH("Monthly oracle/data cost",Assumptions!$B:$B,0),MATCH(B22,Assumptions!$C$3:$E$3,0))</f>
      </c>
      <c r="L22">
        <f>INDEX(Assumptions!$C:$E,MATCH("Monthly infrastructure cost",Assumptions!$B:$B,0),MATCH(B22,Assumptions!$C$3:$E$3,0))</f>
      </c>
      <c r="M22">
        <f>INDEX(Assumptions!$C:$E,MATCH("Monthly audit/security reserve",Assumptions!$B:$B,0),MATCH(B22,Assumptions!$C$3:$E$3,0))</f>
      </c>
      <c r="N22">
        <f>INDEX(Assumptions!$C:$E,MATCH("Monthly jackpot top-up reserve",Assumptions!$B:$B,0),MATCH(B22,Assumptions!$C$3:$E$3,0))</f>
      </c>
      <c r="O22">
        <f>SUM(E22)</f>
      </c>
    </row>
    <row r="23">
      <c r="A23">
        <v>22</v>
      </c>
      <c r="B23" t="inlineStr">
        <is>
          <t>Conservative</t>
        </is>
      </c>
      <c r="C23">
        <f>SUMIFS(Funnel!$H:$H,Funnel!$A:$A,A23,Funnel!$B:$B,B23)</f>
      </c>
      <c r="D23">
        <f>SUMIFS(Funnel!$J:$J,Funnel!$A:$A,A23,Funnel!$B:$B,B23)</f>
      </c>
      <c r="E23">
        <f>C23*INDEX(Assumptions!$C:$E,MATCH("Partner share of first buyers",Assumptions!$B:$B,0),MATCH(B23,Assumptions!$C$3:$E$3,0))*INDEX(Assumptions!$C:$E,MATCH("CPA per qualified player",Assumptions!$B:$B,0),MATCH(B23,Assumptions!$C$3:$E$3,0))*INDEX(Assumptions!$C:$E,MATCH("CPA approved rate",Assumptions!$B:$B,0),MATCH(B23,Assumptions!$C$3:$E$3,0))</f>
      </c>
      <c r="F23">
        <f>INDEX(Assumptions!$C:$E,MATCH("Monthly marketing fixed budget",Assumptions!$B:$B,0),MATCH(B23,Assumptions!$C$3:$E$3,0))</f>
      </c>
      <c r="G23">
        <f>D23*INDEX(Assumptions!$C:$E,MATCH("KYC required rate",Assumptions!$B:$B,0),MATCH(B23,Assumptions!$C$3:$E$3,0))*INDEX(Assumptions!$C:$E,MATCH("KYC cost per checked user",Assumptions!$B:$B,0),MATCH(B23,Assumptions!$C$3:$E$3,0))</f>
      </c>
      <c r="H23">
        <f>D23*INDEX(Assumptions!$C:$E,MATCH("Support cost per active user",Assumptions!$B:$B,0),MATCH(B23,Assumptions!$C$3:$E$3,0))</f>
      </c>
      <c r="I23">
        <f>INDEX(Assumptions!$C:$E,MATCH("Monthly product/dev/ops cost",Assumptions!$B:$B,0),MATCH(B23,Assumptions!$C$3:$E$3,0))</f>
      </c>
      <c r="J23">
        <f>INDEX(Assumptions!$C:$E,MATCH("Monthly legal/compliance reserve",Assumptions!$B:$B,0),MATCH(B23,Assumptions!$C$3:$E$3,0))</f>
      </c>
      <c r="K23">
        <f>INDEX(Assumptions!$C:$E,MATCH("Monthly oracle/data cost",Assumptions!$B:$B,0),MATCH(B23,Assumptions!$C$3:$E$3,0))</f>
      </c>
      <c r="L23">
        <f>INDEX(Assumptions!$C:$E,MATCH("Monthly infrastructure cost",Assumptions!$B:$B,0),MATCH(B23,Assumptions!$C$3:$E$3,0))</f>
      </c>
      <c r="M23">
        <f>INDEX(Assumptions!$C:$E,MATCH("Monthly audit/security reserve",Assumptions!$B:$B,0),MATCH(B23,Assumptions!$C$3:$E$3,0))</f>
      </c>
      <c r="N23">
        <f>INDEX(Assumptions!$C:$E,MATCH("Monthly jackpot top-up reserve",Assumptions!$B:$B,0),MATCH(B23,Assumptions!$C$3:$E$3,0))</f>
      </c>
      <c r="O23">
        <f>SUM(E23)</f>
      </c>
    </row>
    <row r="24">
      <c r="A24">
        <v>23</v>
      </c>
      <c r="B24" t="inlineStr">
        <is>
          <t>Conservative</t>
        </is>
      </c>
      <c r="C24">
        <f>SUMIFS(Funnel!$H:$H,Funnel!$A:$A,A24,Funnel!$B:$B,B24)</f>
      </c>
      <c r="D24">
        <f>SUMIFS(Funnel!$J:$J,Funnel!$A:$A,A24,Funnel!$B:$B,B24)</f>
      </c>
      <c r="E24">
        <f>C24*INDEX(Assumptions!$C:$E,MATCH("Partner share of first buyers",Assumptions!$B:$B,0),MATCH(B24,Assumptions!$C$3:$E$3,0))*INDEX(Assumptions!$C:$E,MATCH("CPA per qualified player",Assumptions!$B:$B,0),MATCH(B24,Assumptions!$C$3:$E$3,0))*INDEX(Assumptions!$C:$E,MATCH("CPA approved rate",Assumptions!$B:$B,0),MATCH(B24,Assumptions!$C$3:$E$3,0))</f>
      </c>
      <c r="F24">
        <f>INDEX(Assumptions!$C:$E,MATCH("Monthly marketing fixed budget",Assumptions!$B:$B,0),MATCH(B24,Assumptions!$C$3:$E$3,0))</f>
      </c>
      <c r="G24">
        <f>D24*INDEX(Assumptions!$C:$E,MATCH("KYC required rate",Assumptions!$B:$B,0),MATCH(B24,Assumptions!$C$3:$E$3,0))*INDEX(Assumptions!$C:$E,MATCH("KYC cost per checked user",Assumptions!$B:$B,0),MATCH(B24,Assumptions!$C$3:$E$3,0))</f>
      </c>
      <c r="H24">
        <f>D24*INDEX(Assumptions!$C:$E,MATCH("Support cost per active user",Assumptions!$B:$B,0),MATCH(B24,Assumptions!$C$3:$E$3,0))</f>
      </c>
      <c r="I24">
        <f>INDEX(Assumptions!$C:$E,MATCH("Monthly product/dev/ops cost",Assumptions!$B:$B,0),MATCH(B24,Assumptions!$C$3:$E$3,0))</f>
      </c>
      <c r="J24">
        <f>INDEX(Assumptions!$C:$E,MATCH("Monthly legal/compliance reserve",Assumptions!$B:$B,0),MATCH(B24,Assumptions!$C$3:$E$3,0))</f>
      </c>
      <c r="K24">
        <f>INDEX(Assumptions!$C:$E,MATCH("Monthly oracle/data cost",Assumptions!$B:$B,0),MATCH(B24,Assumptions!$C$3:$E$3,0))</f>
      </c>
      <c r="L24">
        <f>INDEX(Assumptions!$C:$E,MATCH("Monthly infrastructure cost",Assumptions!$B:$B,0),MATCH(B24,Assumptions!$C$3:$E$3,0))</f>
      </c>
      <c r="M24">
        <f>INDEX(Assumptions!$C:$E,MATCH("Monthly audit/security reserve",Assumptions!$B:$B,0),MATCH(B24,Assumptions!$C$3:$E$3,0))</f>
      </c>
      <c r="N24">
        <f>INDEX(Assumptions!$C:$E,MATCH("Monthly jackpot top-up reserve",Assumptions!$B:$B,0),MATCH(B24,Assumptions!$C$3:$E$3,0))</f>
      </c>
      <c r="O24">
        <f>SUM(E24)</f>
      </c>
    </row>
    <row r="25">
      <c r="A25">
        <v>24</v>
      </c>
      <c r="B25" t="inlineStr">
        <is>
          <t>Conservative</t>
        </is>
      </c>
      <c r="C25">
        <f>SUMIFS(Funnel!$H:$H,Funnel!$A:$A,A25,Funnel!$B:$B,B25)</f>
      </c>
      <c r="D25">
        <f>SUMIFS(Funnel!$J:$J,Funnel!$A:$A,A25,Funnel!$B:$B,B25)</f>
      </c>
      <c r="E25">
        <f>C25*INDEX(Assumptions!$C:$E,MATCH("Partner share of first buyers",Assumptions!$B:$B,0),MATCH(B25,Assumptions!$C$3:$E$3,0))*INDEX(Assumptions!$C:$E,MATCH("CPA per qualified player",Assumptions!$B:$B,0),MATCH(B25,Assumptions!$C$3:$E$3,0))*INDEX(Assumptions!$C:$E,MATCH("CPA approved rate",Assumptions!$B:$B,0),MATCH(B25,Assumptions!$C$3:$E$3,0))</f>
      </c>
      <c r="F25">
        <f>INDEX(Assumptions!$C:$E,MATCH("Monthly marketing fixed budget",Assumptions!$B:$B,0),MATCH(B25,Assumptions!$C$3:$E$3,0))</f>
      </c>
      <c r="G25">
        <f>D25*INDEX(Assumptions!$C:$E,MATCH("KYC required rate",Assumptions!$B:$B,0),MATCH(B25,Assumptions!$C$3:$E$3,0))*INDEX(Assumptions!$C:$E,MATCH("KYC cost per checked user",Assumptions!$B:$B,0),MATCH(B25,Assumptions!$C$3:$E$3,0))</f>
      </c>
      <c r="H25">
        <f>D25*INDEX(Assumptions!$C:$E,MATCH("Support cost per active user",Assumptions!$B:$B,0),MATCH(B25,Assumptions!$C$3:$E$3,0))</f>
      </c>
      <c r="I25">
        <f>INDEX(Assumptions!$C:$E,MATCH("Monthly product/dev/ops cost",Assumptions!$B:$B,0),MATCH(B25,Assumptions!$C$3:$E$3,0))</f>
      </c>
      <c r="J25">
        <f>INDEX(Assumptions!$C:$E,MATCH("Monthly legal/compliance reserve",Assumptions!$B:$B,0),MATCH(B25,Assumptions!$C$3:$E$3,0))</f>
      </c>
      <c r="K25">
        <f>INDEX(Assumptions!$C:$E,MATCH("Monthly oracle/data cost",Assumptions!$B:$B,0),MATCH(B25,Assumptions!$C$3:$E$3,0))</f>
      </c>
      <c r="L25">
        <f>INDEX(Assumptions!$C:$E,MATCH("Monthly infrastructure cost",Assumptions!$B:$B,0),MATCH(B25,Assumptions!$C$3:$E$3,0))</f>
      </c>
      <c r="M25">
        <f>INDEX(Assumptions!$C:$E,MATCH("Monthly audit/security reserve",Assumptions!$B:$B,0),MATCH(B25,Assumptions!$C$3:$E$3,0))</f>
      </c>
      <c r="N25">
        <f>INDEX(Assumptions!$C:$E,MATCH("Monthly jackpot top-up reserve",Assumptions!$B:$B,0),MATCH(B25,Assumptions!$C$3:$E$3,0))</f>
      </c>
      <c r="O25">
        <f>SUM(E25)</f>
      </c>
    </row>
    <row r="26">
      <c r="A26">
        <v>25</v>
      </c>
      <c r="B26" t="inlineStr">
        <is>
          <t>Conservative</t>
        </is>
      </c>
      <c r="C26">
        <f>SUMIFS(Funnel!$H:$H,Funnel!$A:$A,A26,Funnel!$B:$B,B26)</f>
      </c>
      <c r="D26">
        <f>SUMIFS(Funnel!$J:$J,Funnel!$A:$A,A26,Funnel!$B:$B,B26)</f>
      </c>
      <c r="E26">
        <f>C26*INDEX(Assumptions!$C:$E,MATCH("Partner share of first buyers",Assumptions!$B:$B,0),MATCH(B26,Assumptions!$C$3:$E$3,0))*INDEX(Assumptions!$C:$E,MATCH("CPA per qualified player",Assumptions!$B:$B,0),MATCH(B26,Assumptions!$C$3:$E$3,0))*INDEX(Assumptions!$C:$E,MATCH("CPA approved rate",Assumptions!$B:$B,0),MATCH(B26,Assumptions!$C$3:$E$3,0))</f>
      </c>
      <c r="F26">
        <f>INDEX(Assumptions!$C:$E,MATCH("Monthly marketing fixed budget",Assumptions!$B:$B,0),MATCH(B26,Assumptions!$C$3:$E$3,0))</f>
      </c>
      <c r="G26">
        <f>D26*INDEX(Assumptions!$C:$E,MATCH("KYC required rate",Assumptions!$B:$B,0),MATCH(B26,Assumptions!$C$3:$E$3,0))*INDEX(Assumptions!$C:$E,MATCH("KYC cost per checked user",Assumptions!$B:$B,0),MATCH(B26,Assumptions!$C$3:$E$3,0))</f>
      </c>
      <c r="H26">
        <f>D26*INDEX(Assumptions!$C:$E,MATCH("Support cost per active user",Assumptions!$B:$B,0),MATCH(B26,Assumptions!$C$3:$E$3,0))</f>
      </c>
      <c r="I26">
        <f>INDEX(Assumptions!$C:$E,MATCH("Monthly product/dev/ops cost",Assumptions!$B:$B,0),MATCH(B26,Assumptions!$C$3:$E$3,0))</f>
      </c>
      <c r="J26">
        <f>INDEX(Assumptions!$C:$E,MATCH("Monthly legal/compliance reserve",Assumptions!$B:$B,0),MATCH(B26,Assumptions!$C$3:$E$3,0))</f>
      </c>
      <c r="K26">
        <f>INDEX(Assumptions!$C:$E,MATCH("Monthly oracle/data cost",Assumptions!$B:$B,0),MATCH(B26,Assumptions!$C$3:$E$3,0))</f>
      </c>
      <c r="L26">
        <f>INDEX(Assumptions!$C:$E,MATCH("Monthly infrastructure cost",Assumptions!$B:$B,0),MATCH(B26,Assumptions!$C$3:$E$3,0))</f>
      </c>
      <c r="M26">
        <f>INDEX(Assumptions!$C:$E,MATCH("Monthly audit/security reserve",Assumptions!$B:$B,0),MATCH(B26,Assumptions!$C$3:$E$3,0))</f>
      </c>
      <c r="N26">
        <f>INDEX(Assumptions!$C:$E,MATCH("Monthly jackpot top-up reserve",Assumptions!$B:$B,0),MATCH(B26,Assumptions!$C$3:$E$3,0))</f>
      </c>
      <c r="O26">
        <f>SUM(E26)</f>
      </c>
    </row>
    <row r="27">
      <c r="A27">
        <v>26</v>
      </c>
      <c r="B27" t="inlineStr">
        <is>
          <t>Conservative</t>
        </is>
      </c>
      <c r="C27">
        <f>SUMIFS(Funnel!$H:$H,Funnel!$A:$A,A27,Funnel!$B:$B,B27)</f>
      </c>
      <c r="D27">
        <f>SUMIFS(Funnel!$J:$J,Funnel!$A:$A,A27,Funnel!$B:$B,B27)</f>
      </c>
      <c r="E27">
        <f>C27*INDEX(Assumptions!$C:$E,MATCH("Partner share of first buyers",Assumptions!$B:$B,0),MATCH(B27,Assumptions!$C$3:$E$3,0))*INDEX(Assumptions!$C:$E,MATCH("CPA per qualified player",Assumptions!$B:$B,0),MATCH(B27,Assumptions!$C$3:$E$3,0))*INDEX(Assumptions!$C:$E,MATCH("CPA approved rate",Assumptions!$B:$B,0),MATCH(B27,Assumptions!$C$3:$E$3,0))</f>
      </c>
      <c r="F27">
        <f>INDEX(Assumptions!$C:$E,MATCH("Monthly marketing fixed budget",Assumptions!$B:$B,0),MATCH(B27,Assumptions!$C$3:$E$3,0))</f>
      </c>
      <c r="G27">
        <f>D27*INDEX(Assumptions!$C:$E,MATCH("KYC required rate",Assumptions!$B:$B,0),MATCH(B27,Assumptions!$C$3:$E$3,0))*INDEX(Assumptions!$C:$E,MATCH("KYC cost per checked user",Assumptions!$B:$B,0),MATCH(B27,Assumptions!$C$3:$E$3,0))</f>
      </c>
      <c r="H27">
        <f>D27*INDEX(Assumptions!$C:$E,MATCH("Support cost per active user",Assumptions!$B:$B,0),MATCH(B27,Assumptions!$C$3:$E$3,0))</f>
      </c>
      <c r="I27">
        <f>INDEX(Assumptions!$C:$E,MATCH("Monthly product/dev/ops cost",Assumptions!$B:$B,0),MATCH(B27,Assumptions!$C$3:$E$3,0))</f>
      </c>
      <c r="J27">
        <f>INDEX(Assumptions!$C:$E,MATCH("Monthly legal/compliance reserve",Assumptions!$B:$B,0),MATCH(B27,Assumptions!$C$3:$E$3,0))</f>
      </c>
      <c r="K27">
        <f>INDEX(Assumptions!$C:$E,MATCH("Monthly oracle/data cost",Assumptions!$B:$B,0),MATCH(B27,Assumptions!$C$3:$E$3,0))</f>
      </c>
      <c r="L27">
        <f>INDEX(Assumptions!$C:$E,MATCH("Monthly infrastructure cost",Assumptions!$B:$B,0),MATCH(B27,Assumptions!$C$3:$E$3,0))</f>
      </c>
      <c r="M27">
        <f>INDEX(Assumptions!$C:$E,MATCH("Monthly audit/security reserve",Assumptions!$B:$B,0),MATCH(B27,Assumptions!$C$3:$E$3,0))</f>
      </c>
      <c r="N27">
        <f>INDEX(Assumptions!$C:$E,MATCH("Monthly jackpot top-up reserve",Assumptions!$B:$B,0),MATCH(B27,Assumptions!$C$3:$E$3,0))</f>
      </c>
      <c r="O27">
        <f>SUM(E27)</f>
      </c>
    </row>
    <row r="28">
      <c r="A28">
        <v>27</v>
      </c>
      <c r="B28" t="inlineStr">
        <is>
          <t>Conservative</t>
        </is>
      </c>
      <c r="C28">
        <f>SUMIFS(Funnel!$H:$H,Funnel!$A:$A,A28,Funnel!$B:$B,B28)</f>
      </c>
      <c r="D28">
        <f>SUMIFS(Funnel!$J:$J,Funnel!$A:$A,A28,Funnel!$B:$B,B28)</f>
      </c>
      <c r="E28">
        <f>C28*INDEX(Assumptions!$C:$E,MATCH("Partner share of first buyers",Assumptions!$B:$B,0),MATCH(B28,Assumptions!$C$3:$E$3,0))*INDEX(Assumptions!$C:$E,MATCH("CPA per qualified player",Assumptions!$B:$B,0),MATCH(B28,Assumptions!$C$3:$E$3,0))*INDEX(Assumptions!$C:$E,MATCH("CPA approved rate",Assumptions!$B:$B,0),MATCH(B28,Assumptions!$C$3:$E$3,0))</f>
      </c>
      <c r="F28">
        <f>INDEX(Assumptions!$C:$E,MATCH("Monthly marketing fixed budget",Assumptions!$B:$B,0),MATCH(B28,Assumptions!$C$3:$E$3,0))</f>
      </c>
      <c r="G28">
        <f>D28*INDEX(Assumptions!$C:$E,MATCH("KYC required rate",Assumptions!$B:$B,0),MATCH(B28,Assumptions!$C$3:$E$3,0))*INDEX(Assumptions!$C:$E,MATCH("KYC cost per checked user",Assumptions!$B:$B,0),MATCH(B28,Assumptions!$C$3:$E$3,0))</f>
      </c>
      <c r="H28">
        <f>D28*INDEX(Assumptions!$C:$E,MATCH("Support cost per active user",Assumptions!$B:$B,0),MATCH(B28,Assumptions!$C$3:$E$3,0))</f>
      </c>
      <c r="I28">
        <f>INDEX(Assumptions!$C:$E,MATCH("Monthly product/dev/ops cost",Assumptions!$B:$B,0),MATCH(B28,Assumptions!$C$3:$E$3,0))</f>
      </c>
      <c r="J28">
        <f>INDEX(Assumptions!$C:$E,MATCH("Monthly legal/compliance reserve",Assumptions!$B:$B,0),MATCH(B28,Assumptions!$C$3:$E$3,0))</f>
      </c>
      <c r="K28">
        <f>INDEX(Assumptions!$C:$E,MATCH("Monthly oracle/data cost",Assumptions!$B:$B,0),MATCH(B28,Assumptions!$C$3:$E$3,0))</f>
      </c>
      <c r="L28">
        <f>INDEX(Assumptions!$C:$E,MATCH("Monthly infrastructure cost",Assumptions!$B:$B,0),MATCH(B28,Assumptions!$C$3:$E$3,0))</f>
      </c>
      <c r="M28">
        <f>INDEX(Assumptions!$C:$E,MATCH("Monthly audit/security reserve",Assumptions!$B:$B,0),MATCH(B28,Assumptions!$C$3:$E$3,0))</f>
      </c>
      <c r="N28">
        <f>INDEX(Assumptions!$C:$E,MATCH("Monthly jackpot top-up reserve",Assumptions!$B:$B,0),MATCH(B28,Assumptions!$C$3:$E$3,0))</f>
      </c>
      <c r="O28">
        <f>SUM(E28)</f>
      </c>
    </row>
    <row r="29">
      <c r="A29">
        <v>28</v>
      </c>
      <c r="B29" t="inlineStr">
        <is>
          <t>Conservative</t>
        </is>
      </c>
      <c r="C29">
        <f>SUMIFS(Funnel!$H:$H,Funnel!$A:$A,A29,Funnel!$B:$B,B29)</f>
      </c>
      <c r="D29">
        <f>SUMIFS(Funnel!$J:$J,Funnel!$A:$A,A29,Funnel!$B:$B,B29)</f>
      </c>
      <c r="E29">
        <f>C29*INDEX(Assumptions!$C:$E,MATCH("Partner share of first buyers",Assumptions!$B:$B,0),MATCH(B29,Assumptions!$C$3:$E$3,0))*INDEX(Assumptions!$C:$E,MATCH("CPA per qualified player",Assumptions!$B:$B,0),MATCH(B29,Assumptions!$C$3:$E$3,0))*INDEX(Assumptions!$C:$E,MATCH("CPA approved rate",Assumptions!$B:$B,0),MATCH(B29,Assumptions!$C$3:$E$3,0))</f>
      </c>
      <c r="F29">
        <f>INDEX(Assumptions!$C:$E,MATCH("Monthly marketing fixed budget",Assumptions!$B:$B,0),MATCH(B29,Assumptions!$C$3:$E$3,0))</f>
      </c>
      <c r="G29">
        <f>D29*INDEX(Assumptions!$C:$E,MATCH("KYC required rate",Assumptions!$B:$B,0),MATCH(B29,Assumptions!$C$3:$E$3,0))*INDEX(Assumptions!$C:$E,MATCH("KYC cost per checked user",Assumptions!$B:$B,0),MATCH(B29,Assumptions!$C$3:$E$3,0))</f>
      </c>
      <c r="H29">
        <f>D29*INDEX(Assumptions!$C:$E,MATCH("Support cost per active user",Assumptions!$B:$B,0),MATCH(B29,Assumptions!$C$3:$E$3,0))</f>
      </c>
      <c r="I29">
        <f>INDEX(Assumptions!$C:$E,MATCH("Monthly product/dev/ops cost",Assumptions!$B:$B,0),MATCH(B29,Assumptions!$C$3:$E$3,0))</f>
      </c>
      <c r="J29">
        <f>INDEX(Assumptions!$C:$E,MATCH("Monthly legal/compliance reserve",Assumptions!$B:$B,0),MATCH(B29,Assumptions!$C$3:$E$3,0))</f>
      </c>
      <c r="K29">
        <f>INDEX(Assumptions!$C:$E,MATCH("Monthly oracle/data cost",Assumptions!$B:$B,0),MATCH(B29,Assumptions!$C$3:$E$3,0))</f>
      </c>
      <c r="L29">
        <f>INDEX(Assumptions!$C:$E,MATCH("Monthly infrastructure cost",Assumptions!$B:$B,0),MATCH(B29,Assumptions!$C$3:$E$3,0))</f>
      </c>
      <c r="M29">
        <f>INDEX(Assumptions!$C:$E,MATCH("Monthly audit/security reserve",Assumptions!$B:$B,0),MATCH(B29,Assumptions!$C$3:$E$3,0))</f>
      </c>
      <c r="N29">
        <f>INDEX(Assumptions!$C:$E,MATCH("Monthly jackpot top-up reserve",Assumptions!$B:$B,0),MATCH(B29,Assumptions!$C$3:$E$3,0))</f>
      </c>
      <c r="O29">
        <f>SUM(E29)</f>
      </c>
    </row>
    <row r="30">
      <c r="A30">
        <v>29</v>
      </c>
      <c r="B30" t="inlineStr">
        <is>
          <t>Conservative</t>
        </is>
      </c>
      <c r="C30">
        <f>SUMIFS(Funnel!$H:$H,Funnel!$A:$A,A30,Funnel!$B:$B,B30)</f>
      </c>
      <c r="D30">
        <f>SUMIFS(Funnel!$J:$J,Funnel!$A:$A,A30,Funnel!$B:$B,B30)</f>
      </c>
      <c r="E30">
        <f>C30*INDEX(Assumptions!$C:$E,MATCH("Partner share of first buyers",Assumptions!$B:$B,0),MATCH(B30,Assumptions!$C$3:$E$3,0))*INDEX(Assumptions!$C:$E,MATCH("CPA per qualified player",Assumptions!$B:$B,0),MATCH(B30,Assumptions!$C$3:$E$3,0))*INDEX(Assumptions!$C:$E,MATCH("CPA approved rate",Assumptions!$B:$B,0),MATCH(B30,Assumptions!$C$3:$E$3,0))</f>
      </c>
      <c r="F30">
        <f>INDEX(Assumptions!$C:$E,MATCH("Monthly marketing fixed budget",Assumptions!$B:$B,0),MATCH(B30,Assumptions!$C$3:$E$3,0))</f>
      </c>
      <c r="G30">
        <f>D30*INDEX(Assumptions!$C:$E,MATCH("KYC required rate",Assumptions!$B:$B,0),MATCH(B30,Assumptions!$C$3:$E$3,0))*INDEX(Assumptions!$C:$E,MATCH("KYC cost per checked user",Assumptions!$B:$B,0),MATCH(B30,Assumptions!$C$3:$E$3,0))</f>
      </c>
      <c r="H30">
        <f>D30*INDEX(Assumptions!$C:$E,MATCH("Support cost per active user",Assumptions!$B:$B,0),MATCH(B30,Assumptions!$C$3:$E$3,0))</f>
      </c>
      <c r="I30">
        <f>INDEX(Assumptions!$C:$E,MATCH("Monthly product/dev/ops cost",Assumptions!$B:$B,0),MATCH(B30,Assumptions!$C$3:$E$3,0))</f>
      </c>
      <c r="J30">
        <f>INDEX(Assumptions!$C:$E,MATCH("Monthly legal/compliance reserve",Assumptions!$B:$B,0),MATCH(B30,Assumptions!$C$3:$E$3,0))</f>
      </c>
      <c r="K30">
        <f>INDEX(Assumptions!$C:$E,MATCH("Monthly oracle/data cost",Assumptions!$B:$B,0),MATCH(B30,Assumptions!$C$3:$E$3,0))</f>
      </c>
      <c r="L30">
        <f>INDEX(Assumptions!$C:$E,MATCH("Monthly infrastructure cost",Assumptions!$B:$B,0),MATCH(B30,Assumptions!$C$3:$E$3,0))</f>
      </c>
      <c r="M30">
        <f>INDEX(Assumptions!$C:$E,MATCH("Monthly audit/security reserve",Assumptions!$B:$B,0),MATCH(B30,Assumptions!$C$3:$E$3,0))</f>
      </c>
      <c r="N30">
        <f>INDEX(Assumptions!$C:$E,MATCH("Monthly jackpot top-up reserve",Assumptions!$B:$B,0),MATCH(B30,Assumptions!$C$3:$E$3,0))</f>
      </c>
      <c r="O30">
        <f>SUM(E30)</f>
      </c>
    </row>
    <row r="31">
      <c r="A31">
        <v>30</v>
      </c>
      <c r="B31" t="inlineStr">
        <is>
          <t>Conservative</t>
        </is>
      </c>
      <c r="C31">
        <f>SUMIFS(Funnel!$H:$H,Funnel!$A:$A,A31,Funnel!$B:$B,B31)</f>
      </c>
      <c r="D31">
        <f>SUMIFS(Funnel!$J:$J,Funnel!$A:$A,A31,Funnel!$B:$B,B31)</f>
      </c>
      <c r="E31">
        <f>C31*INDEX(Assumptions!$C:$E,MATCH("Partner share of first buyers",Assumptions!$B:$B,0),MATCH(B31,Assumptions!$C$3:$E$3,0))*INDEX(Assumptions!$C:$E,MATCH("CPA per qualified player",Assumptions!$B:$B,0),MATCH(B31,Assumptions!$C$3:$E$3,0))*INDEX(Assumptions!$C:$E,MATCH("CPA approved rate",Assumptions!$B:$B,0),MATCH(B31,Assumptions!$C$3:$E$3,0))</f>
      </c>
      <c r="F31">
        <f>INDEX(Assumptions!$C:$E,MATCH("Monthly marketing fixed budget",Assumptions!$B:$B,0),MATCH(B31,Assumptions!$C$3:$E$3,0))</f>
      </c>
      <c r="G31">
        <f>D31*INDEX(Assumptions!$C:$E,MATCH("KYC required rate",Assumptions!$B:$B,0),MATCH(B31,Assumptions!$C$3:$E$3,0))*INDEX(Assumptions!$C:$E,MATCH("KYC cost per checked user",Assumptions!$B:$B,0),MATCH(B31,Assumptions!$C$3:$E$3,0))</f>
      </c>
      <c r="H31">
        <f>D31*INDEX(Assumptions!$C:$E,MATCH("Support cost per active user",Assumptions!$B:$B,0),MATCH(B31,Assumptions!$C$3:$E$3,0))</f>
      </c>
      <c r="I31">
        <f>INDEX(Assumptions!$C:$E,MATCH("Monthly product/dev/ops cost",Assumptions!$B:$B,0),MATCH(B31,Assumptions!$C$3:$E$3,0))</f>
      </c>
      <c r="J31">
        <f>INDEX(Assumptions!$C:$E,MATCH("Monthly legal/compliance reserve",Assumptions!$B:$B,0),MATCH(B31,Assumptions!$C$3:$E$3,0))</f>
      </c>
      <c r="K31">
        <f>INDEX(Assumptions!$C:$E,MATCH("Monthly oracle/data cost",Assumptions!$B:$B,0),MATCH(B31,Assumptions!$C$3:$E$3,0))</f>
      </c>
      <c r="L31">
        <f>INDEX(Assumptions!$C:$E,MATCH("Monthly infrastructure cost",Assumptions!$B:$B,0),MATCH(B31,Assumptions!$C$3:$E$3,0))</f>
      </c>
      <c r="M31">
        <f>INDEX(Assumptions!$C:$E,MATCH("Monthly audit/security reserve",Assumptions!$B:$B,0),MATCH(B31,Assumptions!$C$3:$E$3,0))</f>
      </c>
      <c r="N31">
        <f>INDEX(Assumptions!$C:$E,MATCH("Monthly jackpot top-up reserve",Assumptions!$B:$B,0),MATCH(B31,Assumptions!$C$3:$E$3,0))</f>
      </c>
      <c r="O31">
        <f>SUM(E31)</f>
      </c>
    </row>
    <row r="32">
      <c r="A32">
        <v>31</v>
      </c>
      <c r="B32" t="inlineStr">
        <is>
          <t>Conservative</t>
        </is>
      </c>
      <c r="C32">
        <f>SUMIFS(Funnel!$H:$H,Funnel!$A:$A,A32,Funnel!$B:$B,B32)</f>
      </c>
      <c r="D32">
        <f>SUMIFS(Funnel!$J:$J,Funnel!$A:$A,A32,Funnel!$B:$B,B32)</f>
      </c>
      <c r="E32">
        <f>C32*INDEX(Assumptions!$C:$E,MATCH("Partner share of first buyers",Assumptions!$B:$B,0),MATCH(B32,Assumptions!$C$3:$E$3,0))*INDEX(Assumptions!$C:$E,MATCH("CPA per qualified player",Assumptions!$B:$B,0),MATCH(B32,Assumptions!$C$3:$E$3,0))*INDEX(Assumptions!$C:$E,MATCH("CPA approved rate",Assumptions!$B:$B,0),MATCH(B32,Assumptions!$C$3:$E$3,0))</f>
      </c>
      <c r="F32">
        <f>INDEX(Assumptions!$C:$E,MATCH("Monthly marketing fixed budget",Assumptions!$B:$B,0),MATCH(B32,Assumptions!$C$3:$E$3,0))</f>
      </c>
      <c r="G32">
        <f>D32*INDEX(Assumptions!$C:$E,MATCH("KYC required rate",Assumptions!$B:$B,0),MATCH(B32,Assumptions!$C$3:$E$3,0))*INDEX(Assumptions!$C:$E,MATCH("KYC cost per checked user",Assumptions!$B:$B,0),MATCH(B32,Assumptions!$C$3:$E$3,0))</f>
      </c>
      <c r="H32">
        <f>D32*INDEX(Assumptions!$C:$E,MATCH("Support cost per active user",Assumptions!$B:$B,0),MATCH(B32,Assumptions!$C$3:$E$3,0))</f>
      </c>
      <c r="I32">
        <f>INDEX(Assumptions!$C:$E,MATCH("Monthly product/dev/ops cost",Assumptions!$B:$B,0),MATCH(B32,Assumptions!$C$3:$E$3,0))</f>
      </c>
      <c r="J32">
        <f>INDEX(Assumptions!$C:$E,MATCH("Monthly legal/compliance reserve",Assumptions!$B:$B,0),MATCH(B32,Assumptions!$C$3:$E$3,0))</f>
      </c>
      <c r="K32">
        <f>INDEX(Assumptions!$C:$E,MATCH("Monthly oracle/data cost",Assumptions!$B:$B,0),MATCH(B32,Assumptions!$C$3:$E$3,0))</f>
      </c>
      <c r="L32">
        <f>INDEX(Assumptions!$C:$E,MATCH("Monthly infrastructure cost",Assumptions!$B:$B,0),MATCH(B32,Assumptions!$C$3:$E$3,0))</f>
      </c>
      <c r="M32">
        <f>INDEX(Assumptions!$C:$E,MATCH("Monthly audit/security reserve",Assumptions!$B:$B,0),MATCH(B32,Assumptions!$C$3:$E$3,0))</f>
      </c>
      <c r="N32">
        <f>INDEX(Assumptions!$C:$E,MATCH("Monthly jackpot top-up reserve",Assumptions!$B:$B,0),MATCH(B32,Assumptions!$C$3:$E$3,0))</f>
      </c>
      <c r="O32">
        <f>SUM(E32)</f>
      </c>
    </row>
    <row r="33">
      <c r="A33">
        <v>32</v>
      </c>
      <c r="B33" t="inlineStr">
        <is>
          <t>Conservative</t>
        </is>
      </c>
      <c r="C33">
        <f>SUMIFS(Funnel!$H:$H,Funnel!$A:$A,A33,Funnel!$B:$B,B33)</f>
      </c>
      <c r="D33">
        <f>SUMIFS(Funnel!$J:$J,Funnel!$A:$A,A33,Funnel!$B:$B,B33)</f>
      </c>
      <c r="E33">
        <f>C33*INDEX(Assumptions!$C:$E,MATCH("Partner share of first buyers",Assumptions!$B:$B,0),MATCH(B33,Assumptions!$C$3:$E$3,0))*INDEX(Assumptions!$C:$E,MATCH("CPA per qualified player",Assumptions!$B:$B,0),MATCH(B33,Assumptions!$C$3:$E$3,0))*INDEX(Assumptions!$C:$E,MATCH("CPA approved rate",Assumptions!$B:$B,0),MATCH(B33,Assumptions!$C$3:$E$3,0))</f>
      </c>
      <c r="F33">
        <f>INDEX(Assumptions!$C:$E,MATCH("Monthly marketing fixed budget",Assumptions!$B:$B,0),MATCH(B33,Assumptions!$C$3:$E$3,0))</f>
      </c>
      <c r="G33">
        <f>D33*INDEX(Assumptions!$C:$E,MATCH("KYC required rate",Assumptions!$B:$B,0),MATCH(B33,Assumptions!$C$3:$E$3,0))*INDEX(Assumptions!$C:$E,MATCH("KYC cost per checked user",Assumptions!$B:$B,0),MATCH(B33,Assumptions!$C$3:$E$3,0))</f>
      </c>
      <c r="H33">
        <f>D33*INDEX(Assumptions!$C:$E,MATCH("Support cost per active user",Assumptions!$B:$B,0),MATCH(B33,Assumptions!$C$3:$E$3,0))</f>
      </c>
      <c r="I33">
        <f>INDEX(Assumptions!$C:$E,MATCH("Monthly product/dev/ops cost",Assumptions!$B:$B,0),MATCH(B33,Assumptions!$C$3:$E$3,0))</f>
      </c>
      <c r="J33">
        <f>INDEX(Assumptions!$C:$E,MATCH("Monthly legal/compliance reserve",Assumptions!$B:$B,0),MATCH(B33,Assumptions!$C$3:$E$3,0))</f>
      </c>
      <c r="K33">
        <f>INDEX(Assumptions!$C:$E,MATCH("Monthly oracle/data cost",Assumptions!$B:$B,0),MATCH(B33,Assumptions!$C$3:$E$3,0))</f>
      </c>
      <c r="L33">
        <f>INDEX(Assumptions!$C:$E,MATCH("Monthly infrastructure cost",Assumptions!$B:$B,0),MATCH(B33,Assumptions!$C$3:$E$3,0))</f>
      </c>
      <c r="M33">
        <f>INDEX(Assumptions!$C:$E,MATCH("Monthly audit/security reserve",Assumptions!$B:$B,0),MATCH(B33,Assumptions!$C$3:$E$3,0))</f>
      </c>
      <c r="N33">
        <f>INDEX(Assumptions!$C:$E,MATCH("Monthly jackpot top-up reserve",Assumptions!$B:$B,0),MATCH(B33,Assumptions!$C$3:$E$3,0))</f>
      </c>
      <c r="O33">
        <f>SUM(E33)</f>
      </c>
    </row>
    <row r="34">
      <c r="A34">
        <v>33</v>
      </c>
      <c r="B34" t="inlineStr">
        <is>
          <t>Conservative</t>
        </is>
      </c>
      <c r="C34">
        <f>SUMIFS(Funnel!$H:$H,Funnel!$A:$A,A34,Funnel!$B:$B,B34)</f>
      </c>
      <c r="D34">
        <f>SUMIFS(Funnel!$J:$J,Funnel!$A:$A,A34,Funnel!$B:$B,B34)</f>
      </c>
      <c r="E34">
        <f>C34*INDEX(Assumptions!$C:$E,MATCH("Partner share of first buyers",Assumptions!$B:$B,0),MATCH(B34,Assumptions!$C$3:$E$3,0))*INDEX(Assumptions!$C:$E,MATCH("CPA per qualified player",Assumptions!$B:$B,0),MATCH(B34,Assumptions!$C$3:$E$3,0))*INDEX(Assumptions!$C:$E,MATCH("CPA approved rate",Assumptions!$B:$B,0),MATCH(B34,Assumptions!$C$3:$E$3,0))</f>
      </c>
      <c r="F34">
        <f>INDEX(Assumptions!$C:$E,MATCH("Monthly marketing fixed budget",Assumptions!$B:$B,0),MATCH(B34,Assumptions!$C$3:$E$3,0))</f>
      </c>
      <c r="G34">
        <f>D34*INDEX(Assumptions!$C:$E,MATCH("KYC required rate",Assumptions!$B:$B,0),MATCH(B34,Assumptions!$C$3:$E$3,0))*INDEX(Assumptions!$C:$E,MATCH("KYC cost per checked user",Assumptions!$B:$B,0),MATCH(B34,Assumptions!$C$3:$E$3,0))</f>
      </c>
      <c r="H34">
        <f>D34*INDEX(Assumptions!$C:$E,MATCH("Support cost per active user",Assumptions!$B:$B,0),MATCH(B34,Assumptions!$C$3:$E$3,0))</f>
      </c>
      <c r="I34">
        <f>INDEX(Assumptions!$C:$E,MATCH("Monthly product/dev/ops cost",Assumptions!$B:$B,0),MATCH(B34,Assumptions!$C$3:$E$3,0))</f>
      </c>
      <c r="J34">
        <f>INDEX(Assumptions!$C:$E,MATCH("Monthly legal/compliance reserve",Assumptions!$B:$B,0),MATCH(B34,Assumptions!$C$3:$E$3,0))</f>
      </c>
      <c r="K34">
        <f>INDEX(Assumptions!$C:$E,MATCH("Monthly oracle/data cost",Assumptions!$B:$B,0),MATCH(B34,Assumptions!$C$3:$E$3,0))</f>
      </c>
      <c r="L34">
        <f>INDEX(Assumptions!$C:$E,MATCH("Monthly infrastructure cost",Assumptions!$B:$B,0),MATCH(B34,Assumptions!$C$3:$E$3,0))</f>
      </c>
      <c r="M34">
        <f>INDEX(Assumptions!$C:$E,MATCH("Monthly audit/security reserve",Assumptions!$B:$B,0),MATCH(B34,Assumptions!$C$3:$E$3,0))</f>
      </c>
      <c r="N34">
        <f>INDEX(Assumptions!$C:$E,MATCH("Monthly jackpot top-up reserve",Assumptions!$B:$B,0),MATCH(B34,Assumptions!$C$3:$E$3,0))</f>
      </c>
      <c r="O34">
        <f>SUM(E34)</f>
      </c>
    </row>
    <row r="35">
      <c r="A35">
        <v>34</v>
      </c>
      <c r="B35" t="inlineStr">
        <is>
          <t>Conservative</t>
        </is>
      </c>
      <c r="C35">
        <f>SUMIFS(Funnel!$H:$H,Funnel!$A:$A,A35,Funnel!$B:$B,B35)</f>
      </c>
      <c r="D35">
        <f>SUMIFS(Funnel!$J:$J,Funnel!$A:$A,A35,Funnel!$B:$B,B35)</f>
      </c>
      <c r="E35">
        <f>C35*INDEX(Assumptions!$C:$E,MATCH("Partner share of first buyers",Assumptions!$B:$B,0),MATCH(B35,Assumptions!$C$3:$E$3,0))*INDEX(Assumptions!$C:$E,MATCH("CPA per qualified player",Assumptions!$B:$B,0),MATCH(B35,Assumptions!$C$3:$E$3,0))*INDEX(Assumptions!$C:$E,MATCH("CPA approved rate",Assumptions!$B:$B,0),MATCH(B35,Assumptions!$C$3:$E$3,0))</f>
      </c>
      <c r="F35">
        <f>INDEX(Assumptions!$C:$E,MATCH("Monthly marketing fixed budget",Assumptions!$B:$B,0),MATCH(B35,Assumptions!$C$3:$E$3,0))</f>
      </c>
      <c r="G35">
        <f>D35*INDEX(Assumptions!$C:$E,MATCH("KYC required rate",Assumptions!$B:$B,0),MATCH(B35,Assumptions!$C$3:$E$3,0))*INDEX(Assumptions!$C:$E,MATCH("KYC cost per checked user",Assumptions!$B:$B,0),MATCH(B35,Assumptions!$C$3:$E$3,0))</f>
      </c>
      <c r="H35">
        <f>D35*INDEX(Assumptions!$C:$E,MATCH("Support cost per active user",Assumptions!$B:$B,0),MATCH(B35,Assumptions!$C$3:$E$3,0))</f>
      </c>
      <c r="I35">
        <f>INDEX(Assumptions!$C:$E,MATCH("Monthly product/dev/ops cost",Assumptions!$B:$B,0),MATCH(B35,Assumptions!$C$3:$E$3,0))</f>
      </c>
      <c r="J35">
        <f>INDEX(Assumptions!$C:$E,MATCH("Monthly legal/compliance reserve",Assumptions!$B:$B,0),MATCH(B35,Assumptions!$C$3:$E$3,0))</f>
      </c>
      <c r="K35">
        <f>INDEX(Assumptions!$C:$E,MATCH("Monthly oracle/data cost",Assumptions!$B:$B,0),MATCH(B35,Assumptions!$C$3:$E$3,0))</f>
      </c>
      <c r="L35">
        <f>INDEX(Assumptions!$C:$E,MATCH("Monthly infrastructure cost",Assumptions!$B:$B,0),MATCH(B35,Assumptions!$C$3:$E$3,0))</f>
      </c>
      <c r="M35">
        <f>INDEX(Assumptions!$C:$E,MATCH("Monthly audit/security reserve",Assumptions!$B:$B,0),MATCH(B35,Assumptions!$C$3:$E$3,0))</f>
      </c>
      <c r="N35">
        <f>INDEX(Assumptions!$C:$E,MATCH("Monthly jackpot top-up reserve",Assumptions!$B:$B,0),MATCH(B35,Assumptions!$C$3:$E$3,0))</f>
      </c>
      <c r="O35">
        <f>SUM(E35)</f>
      </c>
    </row>
    <row r="36">
      <c r="A36">
        <v>35</v>
      </c>
      <c r="B36" t="inlineStr">
        <is>
          <t>Conservative</t>
        </is>
      </c>
      <c r="C36">
        <f>SUMIFS(Funnel!$H:$H,Funnel!$A:$A,A36,Funnel!$B:$B,B36)</f>
      </c>
      <c r="D36">
        <f>SUMIFS(Funnel!$J:$J,Funnel!$A:$A,A36,Funnel!$B:$B,B36)</f>
      </c>
      <c r="E36">
        <f>C36*INDEX(Assumptions!$C:$E,MATCH("Partner share of first buyers",Assumptions!$B:$B,0),MATCH(B36,Assumptions!$C$3:$E$3,0))*INDEX(Assumptions!$C:$E,MATCH("CPA per qualified player",Assumptions!$B:$B,0),MATCH(B36,Assumptions!$C$3:$E$3,0))*INDEX(Assumptions!$C:$E,MATCH("CPA approved rate",Assumptions!$B:$B,0),MATCH(B36,Assumptions!$C$3:$E$3,0))</f>
      </c>
      <c r="F36">
        <f>INDEX(Assumptions!$C:$E,MATCH("Monthly marketing fixed budget",Assumptions!$B:$B,0),MATCH(B36,Assumptions!$C$3:$E$3,0))</f>
      </c>
      <c r="G36">
        <f>D36*INDEX(Assumptions!$C:$E,MATCH("KYC required rate",Assumptions!$B:$B,0),MATCH(B36,Assumptions!$C$3:$E$3,0))*INDEX(Assumptions!$C:$E,MATCH("KYC cost per checked user",Assumptions!$B:$B,0),MATCH(B36,Assumptions!$C$3:$E$3,0))</f>
      </c>
      <c r="H36">
        <f>D36*INDEX(Assumptions!$C:$E,MATCH("Support cost per active user",Assumptions!$B:$B,0),MATCH(B36,Assumptions!$C$3:$E$3,0))</f>
      </c>
      <c r="I36">
        <f>INDEX(Assumptions!$C:$E,MATCH("Monthly product/dev/ops cost",Assumptions!$B:$B,0),MATCH(B36,Assumptions!$C$3:$E$3,0))</f>
      </c>
      <c r="J36">
        <f>INDEX(Assumptions!$C:$E,MATCH("Monthly legal/compliance reserve",Assumptions!$B:$B,0),MATCH(B36,Assumptions!$C$3:$E$3,0))</f>
      </c>
      <c r="K36">
        <f>INDEX(Assumptions!$C:$E,MATCH("Monthly oracle/data cost",Assumptions!$B:$B,0),MATCH(B36,Assumptions!$C$3:$E$3,0))</f>
      </c>
      <c r="L36">
        <f>INDEX(Assumptions!$C:$E,MATCH("Monthly infrastructure cost",Assumptions!$B:$B,0),MATCH(B36,Assumptions!$C$3:$E$3,0))</f>
      </c>
      <c r="M36">
        <f>INDEX(Assumptions!$C:$E,MATCH("Monthly audit/security reserve",Assumptions!$B:$B,0),MATCH(B36,Assumptions!$C$3:$E$3,0))</f>
      </c>
      <c r="N36">
        <f>INDEX(Assumptions!$C:$E,MATCH("Monthly jackpot top-up reserve",Assumptions!$B:$B,0),MATCH(B36,Assumptions!$C$3:$E$3,0))</f>
      </c>
      <c r="O36">
        <f>SUM(E36)</f>
      </c>
    </row>
    <row r="37">
      <c r="A37">
        <v>36</v>
      </c>
      <c r="B37" t="inlineStr">
        <is>
          <t>Conservative</t>
        </is>
      </c>
      <c r="C37">
        <f>SUMIFS(Funnel!$H:$H,Funnel!$A:$A,A37,Funnel!$B:$B,B37)</f>
      </c>
      <c r="D37">
        <f>SUMIFS(Funnel!$J:$J,Funnel!$A:$A,A37,Funnel!$B:$B,B37)</f>
      </c>
      <c r="E37">
        <f>C37*INDEX(Assumptions!$C:$E,MATCH("Partner share of first buyers",Assumptions!$B:$B,0),MATCH(B37,Assumptions!$C$3:$E$3,0))*INDEX(Assumptions!$C:$E,MATCH("CPA per qualified player",Assumptions!$B:$B,0),MATCH(B37,Assumptions!$C$3:$E$3,0))*INDEX(Assumptions!$C:$E,MATCH("CPA approved rate",Assumptions!$B:$B,0),MATCH(B37,Assumptions!$C$3:$E$3,0))</f>
      </c>
      <c r="F37">
        <f>INDEX(Assumptions!$C:$E,MATCH("Monthly marketing fixed budget",Assumptions!$B:$B,0),MATCH(B37,Assumptions!$C$3:$E$3,0))</f>
      </c>
      <c r="G37">
        <f>D37*INDEX(Assumptions!$C:$E,MATCH("KYC required rate",Assumptions!$B:$B,0),MATCH(B37,Assumptions!$C$3:$E$3,0))*INDEX(Assumptions!$C:$E,MATCH("KYC cost per checked user",Assumptions!$B:$B,0),MATCH(B37,Assumptions!$C$3:$E$3,0))</f>
      </c>
      <c r="H37">
        <f>D37*INDEX(Assumptions!$C:$E,MATCH("Support cost per active user",Assumptions!$B:$B,0),MATCH(B37,Assumptions!$C$3:$E$3,0))</f>
      </c>
      <c r="I37">
        <f>INDEX(Assumptions!$C:$E,MATCH("Monthly product/dev/ops cost",Assumptions!$B:$B,0),MATCH(B37,Assumptions!$C$3:$E$3,0))</f>
      </c>
      <c r="J37">
        <f>INDEX(Assumptions!$C:$E,MATCH("Monthly legal/compliance reserve",Assumptions!$B:$B,0),MATCH(B37,Assumptions!$C$3:$E$3,0))</f>
      </c>
      <c r="K37">
        <f>INDEX(Assumptions!$C:$E,MATCH("Monthly oracle/data cost",Assumptions!$B:$B,0),MATCH(B37,Assumptions!$C$3:$E$3,0))</f>
      </c>
      <c r="L37">
        <f>INDEX(Assumptions!$C:$E,MATCH("Monthly infrastructure cost",Assumptions!$B:$B,0),MATCH(B37,Assumptions!$C$3:$E$3,0))</f>
      </c>
      <c r="M37">
        <f>INDEX(Assumptions!$C:$E,MATCH("Monthly audit/security reserve",Assumptions!$B:$B,0),MATCH(B37,Assumptions!$C$3:$E$3,0))</f>
      </c>
      <c r="N37">
        <f>INDEX(Assumptions!$C:$E,MATCH("Monthly jackpot top-up reserve",Assumptions!$B:$B,0),MATCH(B37,Assumptions!$C$3:$E$3,0))</f>
      </c>
      <c r="O37">
        <f>SUM(E37)</f>
      </c>
    </row>
    <row r="38">
      <c r="A38">
        <v>1</v>
      </c>
      <c r="B38" t="inlineStr">
        <is>
          <t>Base</t>
        </is>
      </c>
      <c r="C38">
        <f>SUMIFS(Funnel!$H:$H,Funnel!$A:$A,A38,Funnel!$B:$B,B38)</f>
      </c>
      <c r="D38">
        <f>SUMIFS(Funnel!$J:$J,Funnel!$A:$A,A38,Funnel!$B:$B,B38)</f>
      </c>
      <c r="E38">
        <f>C38*INDEX(Assumptions!$C:$E,MATCH("Partner share of first buyers",Assumptions!$B:$B,0),MATCH(B38,Assumptions!$C$3:$E$3,0))*INDEX(Assumptions!$C:$E,MATCH("CPA per qualified player",Assumptions!$B:$B,0),MATCH(B38,Assumptions!$C$3:$E$3,0))*INDEX(Assumptions!$C:$E,MATCH("CPA approved rate",Assumptions!$B:$B,0),MATCH(B38,Assumptions!$C$3:$E$3,0))</f>
      </c>
      <c r="F38">
        <f>INDEX(Assumptions!$C:$E,MATCH("Monthly marketing fixed budget",Assumptions!$B:$B,0),MATCH(B38,Assumptions!$C$3:$E$3,0))</f>
      </c>
      <c r="G38">
        <f>D38*INDEX(Assumptions!$C:$E,MATCH("KYC required rate",Assumptions!$B:$B,0),MATCH(B38,Assumptions!$C$3:$E$3,0))*INDEX(Assumptions!$C:$E,MATCH("KYC cost per checked user",Assumptions!$B:$B,0),MATCH(B38,Assumptions!$C$3:$E$3,0))</f>
      </c>
      <c r="H38">
        <f>D38*INDEX(Assumptions!$C:$E,MATCH("Support cost per active user",Assumptions!$B:$B,0),MATCH(B38,Assumptions!$C$3:$E$3,0))</f>
      </c>
      <c r="I38">
        <f>INDEX(Assumptions!$C:$E,MATCH("Monthly product/dev/ops cost",Assumptions!$B:$B,0),MATCH(B38,Assumptions!$C$3:$E$3,0))</f>
      </c>
      <c r="J38">
        <f>INDEX(Assumptions!$C:$E,MATCH("Monthly legal/compliance reserve",Assumptions!$B:$B,0),MATCH(B38,Assumptions!$C$3:$E$3,0))</f>
      </c>
      <c r="K38">
        <f>INDEX(Assumptions!$C:$E,MATCH("Monthly oracle/data cost",Assumptions!$B:$B,0),MATCH(B38,Assumptions!$C$3:$E$3,0))</f>
      </c>
      <c r="L38">
        <f>INDEX(Assumptions!$C:$E,MATCH("Monthly infrastructure cost",Assumptions!$B:$B,0),MATCH(B38,Assumptions!$C$3:$E$3,0))</f>
      </c>
      <c r="M38">
        <f>INDEX(Assumptions!$C:$E,MATCH("Monthly audit/security reserve",Assumptions!$B:$B,0),MATCH(B38,Assumptions!$C$3:$E$3,0))</f>
      </c>
      <c r="N38">
        <f>INDEX(Assumptions!$C:$E,MATCH("Monthly jackpot top-up reserve",Assumptions!$B:$B,0),MATCH(B38,Assumptions!$C$3:$E$3,0))</f>
      </c>
      <c r="O38">
        <f>SUM(E38)</f>
      </c>
    </row>
    <row r="39">
      <c r="A39">
        <v>2</v>
      </c>
      <c r="B39" t="inlineStr">
        <is>
          <t>Base</t>
        </is>
      </c>
      <c r="C39">
        <f>SUMIFS(Funnel!$H:$H,Funnel!$A:$A,A39,Funnel!$B:$B,B39)</f>
      </c>
      <c r="D39">
        <f>SUMIFS(Funnel!$J:$J,Funnel!$A:$A,A39,Funnel!$B:$B,B39)</f>
      </c>
      <c r="E39">
        <f>C39*INDEX(Assumptions!$C:$E,MATCH("Partner share of first buyers",Assumptions!$B:$B,0),MATCH(B39,Assumptions!$C$3:$E$3,0))*INDEX(Assumptions!$C:$E,MATCH("CPA per qualified player",Assumptions!$B:$B,0),MATCH(B39,Assumptions!$C$3:$E$3,0))*INDEX(Assumptions!$C:$E,MATCH("CPA approved rate",Assumptions!$B:$B,0),MATCH(B39,Assumptions!$C$3:$E$3,0))</f>
      </c>
      <c r="F39">
        <f>INDEX(Assumptions!$C:$E,MATCH("Monthly marketing fixed budget",Assumptions!$B:$B,0),MATCH(B39,Assumptions!$C$3:$E$3,0))</f>
      </c>
      <c r="G39">
        <f>D39*INDEX(Assumptions!$C:$E,MATCH("KYC required rate",Assumptions!$B:$B,0),MATCH(B39,Assumptions!$C$3:$E$3,0))*INDEX(Assumptions!$C:$E,MATCH("KYC cost per checked user",Assumptions!$B:$B,0),MATCH(B39,Assumptions!$C$3:$E$3,0))</f>
      </c>
      <c r="H39">
        <f>D39*INDEX(Assumptions!$C:$E,MATCH("Support cost per active user",Assumptions!$B:$B,0),MATCH(B39,Assumptions!$C$3:$E$3,0))</f>
      </c>
      <c r="I39">
        <f>INDEX(Assumptions!$C:$E,MATCH("Monthly product/dev/ops cost",Assumptions!$B:$B,0),MATCH(B39,Assumptions!$C$3:$E$3,0))</f>
      </c>
      <c r="J39">
        <f>INDEX(Assumptions!$C:$E,MATCH("Monthly legal/compliance reserve",Assumptions!$B:$B,0),MATCH(B39,Assumptions!$C$3:$E$3,0))</f>
      </c>
      <c r="K39">
        <f>INDEX(Assumptions!$C:$E,MATCH("Monthly oracle/data cost",Assumptions!$B:$B,0),MATCH(B39,Assumptions!$C$3:$E$3,0))</f>
      </c>
      <c r="L39">
        <f>INDEX(Assumptions!$C:$E,MATCH("Monthly infrastructure cost",Assumptions!$B:$B,0),MATCH(B39,Assumptions!$C$3:$E$3,0))</f>
      </c>
      <c r="M39">
        <f>INDEX(Assumptions!$C:$E,MATCH("Monthly audit/security reserve",Assumptions!$B:$B,0),MATCH(B39,Assumptions!$C$3:$E$3,0))</f>
      </c>
      <c r="N39">
        <f>INDEX(Assumptions!$C:$E,MATCH("Monthly jackpot top-up reserve",Assumptions!$B:$B,0),MATCH(B39,Assumptions!$C$3:$E$3,0))</f>
      </c>
      <c r="O39">
        <f>SUM(E39)</f>
      </c>
    </row>
    <row r="40">
      <c r="A40">
        <v>3</v>
      </c>
      <c r="B40" t="inlineStr">
        <is>
          <t>Base</t>
        </is>
      </c>
      <c r="C40">
        <f>SUMIFS(Funnel!$H:$H,Funnel!$A:$A,A40,Funnel!$B:$B,B40)</f>
      </c>
      <c r="D40">
        <f>SUMIFS(Funnel!$J:$J,Funnel!$A:$A,A40,Funnel!$B:$B,B40)</f>
      </c>
      <c r="E40">
        <f>C40*INDEX(Assumptions!$C:$E,MATCH("Partner share of first buyers",Assumptions!$B:$B,0),MATCH(B40,Assumptions!$C$3:$E$3,0))*INDEX(Assumptions!$C:$E,MATCH("CPA per qualified player",Assumptions!$B:$B,0),MATCH(B40,Assumptions!$C$3:$E$3,0))*INDEX(Assumptions!$C:$E,MATCH("CPA approved rate",Assumptions!$B:$B,0),MATCH(B40,Assumptions!$C$3:$E$3,0))</f>
      </c>
      <c r="F40">
        <f>INDEX(Assumptions!$C:$E,MATCH("Monthly marketing fixed budget",Assumptions!$B:$B,0),MATCH(B40,Assumptions!$C$3:$E$3,0))</f>
      </c>
      <c r="G40">
        <f>D40*INDEX(Assumptions!$C:$E,MATCH("KYC required rate",Assumptions!$B:$B,0),MATCH(B40,Assumptions!$C$3:$E$3,0))*INDEX(Assumptions!$C:$E,MATCH("KYC cost per checked user",Assumptions!$B:$B,0),MATCH(B40,Assumptions!$C$3:$E$3,0))</f>
      </c>
      <c r="H40">
        <f>D40*INDEX(Assumptions!$C:$E,MATCH("Support cost per active user",Assumptions!$B:$B,0),MATCH(B40,Assumptions!$C$3:$E$3,0))</f>
      </c>
      <c r="I40">
        <f>INDEX(Assumptions!$C:$E,MATCH("Monthly product/dev/ops cost",Assumptions!$B:$B,0),MATCH(B40,Assumptions!$C$3:$E$3,0))</f>
      </c>
      <c r="J40">
        <f>INDEX(Assumptions!$C:$E,MATCH("Monthly legal/compliance reserve",Assumptions!$B:$B,0),MATCH(B40,Assumptions!$C$3:$E$3,0))</f>
      </c>
      <c r="K40">
        <f>INDEX(Assumptions!$C:$E,MATCH("Monthly oracle/data cost",Assumptions!$B:$B,0),MATCH(B40,Assumptions!$C$3:$E$3,0))</f>
      </c>
      <c r="L40">
        <f>INDEX(Assumptions!$C:$E,MATCH("Monthly infrastructure cost",Assumptions!$B:$B,0),MATCH(B40,Assumptions!$C$3:$E$3,0))</f>
      </c>
      <c r="M40">
        <f>INDEX(Assumptions!$C:$E,MATCH("Monthly audit/security reserve",Assumptions!$B:$B,0),MATCH(B40,Assumptions!$C$3:$E$3,0))</f>
      </c>
      <c r="N40">
        <f>INDEX(Assumptions!$C:$E,MATCH("Monthly jackpot top-up reserve",Assumptions!$B:$B,0),MATCH(B40,Assumptions!$C$3:$E$3,0))</f>
      </c>
      <c r="O40">
        <f>SUM(E40)</f>
      </c>
    </row>
    <row r="41">
      <c r="A41">
        <v>4</v>
      </c>
      <c r="B41" t="inlineStr">
        <is>
          <t>Base</t>
        </is>
      </c>
      <c r="C41">
        <f>SUMIFS(Funnel!$H:$H,Funnel!$A:$A,A41,Funnel!$B:$B,B41)</f>
      </c>
      <c r="D41">
        <f>SUMIFS(Funnel!$J:$J,Funnel!$A:$A,A41,Funnel!$B:$B,B41)</f>
      </c>
      <c r="E41">
        <f>C41*INDEX(Assumptions!$C:$E,MATCH("Partner share of first buyers",Assumptions!$B:$B,0),MATCH(B41,Assumptions!$C$3:$E$3,0))*INDEX(Assumptions!$C:$E,MATCH("CPA per qualified player",Assumptions!$B:$B,0),MATCH(B41,Assumptions!$C$3:$E$3,0))*INDEX(Assumptions!$C:$E,MATCH("CPA approved rate",Assumptions!$B:$B,0),MATCH(B41,Assumptions!$C$3:$E$3,0))</f>
      </c>
      <c r="F41">
        <f>INDEX(Assumptions!$C:$E,MATCH("Monthly marketing fixed budget",Assumptions!$B:$B,0),MATCH(B41,Assumptions!$C$3:$E$3,0))</f>
      </c>
      <c r="G41">
        <f>D41*INDEX(Assumptions!$C:$E,MATCH("KYC required rate",Assumptions!$B:$B,0),MATCH(B41,Assumptions!$C$3:$E$3,0))*INDEX(Assumptions!$C:$E,MATCH("KYC cost per checked user",Assumptions!$B:$B,0),MATCH(B41,Assumptions!$C$3:$E$3,0))</f>
      </c>
      <c r="H41">
        <f>D41*INDEX(Assumptions!$C:$E,MATCH("Support cost per active user",Assumptions!$B:$B,0),MATCH(B41,Assumptions!$C$3:$E$3,0))</f>
      </c>
      <c r="I41">
        <f>INDEX(Assumptions!$C:$E,MATCH("Monthly product/dev/ops cost",Assumptions!$B:$B,0),MATCH(B41,Assumptions!$C$3:$E$3,0))</f>
      </c>
      <c r="J41">
        <f>INDEX(Assumptions!$C:$E,MATCH("Monthly legal/compliance reserve",Assumptions!$B:$B,0),MATCH(B41,Assumptions!$C$3:$E$3,0))</f>
      </c>
      <c r="K41">
        <f>INDEX(Assumptions!$C:$E,MATCH("Monthly oracle/data cost",Assumptions!$B:$B,0),MATCH(B41,Assumptions!$C$3:$E$3,0))</f>
      </c>
      <c r="L41">
        <f>INDEX(Assumptions!$C:$E,MATCH("Monthly infrastructure cost",Assumptions!$B:$B,0),MATCH(B41,Assumptions!$C$3:$E$3,0))</f>
      </c>
      <c r="M41">
        <f>INDEX(Assumptions!$C:$E,MATCH("Monthly audit/security reserve",Assumptions!$B:$B,0),MATCH(B41,Assumptions!$C$3:$E$3,0))</f>
      </c>
      <c r="N41">
        <f>INDEX(Assumptions!$C:$E,MATCH("Monthly jackpot top-up reserve",Assumptions!$B:$B,0),MATCH(B41,Assumptions!$C$3:$E$3,0))</f>
      </c>
      <c r="O41">
        <f>SUM(E41)</f>
      </c>
    </row>
    <row r="42">
      <c r="A42">
        <v>5</v>
      </c>
      <c r="B42" t="inlineStr">
        <is>
          <t>Base</t>
        </is>
      </c>
      <c r="C42">
        <f>SUMIFS(Funnel!$H:$H,Funnel!$A:$A,A42,Funnel!$B:$B,B42)</f>
      </c>
      <c r="D42">
        <f>SUMIFS(Funnel!$J:$J,Funnel!$A:$A,A42,Funnel!$B:$B,B42)</f>
      </c>
      <c r="E42">
        <f>C42*INDEX(Assumptions!$C:$E,MATCH("Partner share of first buyers",Assumptions!$B:$B,0),MATCH(B42,Assumptions!$C$3:$E$3,0))*INDEX(Assumptions!$C:$E,MATCH("CPA per qualified player",Assumptions!$B:$B,0),MATCH(B42,Assumptions!$C$3:$E$3,0))*INDEX(Assumptions!$C:$E,MATCH("CPA approved rate",Assumptions!$B:$B,0),MATCH(B42,Assumptions!$C$3:$E$3,0))</f>
      </c>
      <c r="F42">
        <f>INDEX(Assumptions!$C:$E,MATCH("Monthly marketing fixed budget",Assumptions!$B:$B,0),MATCH(B42,Assumptions!$C$3:$E$3,0))</f>
      </c>
      <c r="G42">
        <f>D42*INDEX(Assumptions!$C:$E,MATCH("KYC required rate",Assumptions!$B:$B,0),MATCH(B42,Assumptions!$C$3:$E$3,0))*INDEX(Assumptions!$C:$E,MATCH("KYC cost per checked user",Assumptions!$B:$B,0),MATCH(B42,Assumptions!$C$3:$E$3,0))</f>
      </c>
      <c r="H42">
        <f>D42*INDEX(Assumptions!$C:$E,MATCH("Support cost per active user",Assumptions!$B:$B,0),MATCH(B42,Assumptions!$C$3:$E$3,0))</f>
      </c>
      <c r="I42">
        <f>INDEX(Assumptions!$C:$E,MATCH("Monthly product/dev/ops cost",Assumptions!$B:$B,0),MATCH(B42,Assumptions!$C$3:$E$3,0))</f>
      </c>
      <c r="J42">
        <f>INDEX(Assumptions!$C:$E,MATCH("Monthly legal/compliance reserve",Assumptions!$B:$B,0),MATCH(B42,Assumptions!$C$3:$E$3,0))</f>
      </c>
      <c r="K42">
        <f>INDEX(Assumptions!$C:$E,MATCH("Monthly oracle/data cost",Assumptions!$B:$B,0),MATCH(B42,Assumptions!$C$3:$E$3,0))</f>
      </c>
      <c r="L42">
        <f>INDEX(Assumptions!$C:$E,MATCH("Monthly infrastructure cost",Assumptions!$B:$B,0),MATCH(B42,Assumptions!$C$3:$E$3,0))</f>
      </c>
      <c r="M42">
        <f>INDEX(Assumptions!$C:$E,MATCH("Monthly audit/security reserve",Assumptions!$B:$B,0),MATCH(B42,Assumptions!$C$3:$E$3,0))</f>
      </c>
      <c r="N42">
        <f>INDEX(Assumptions!$C:$E,MATCH("Monthly jackpot top-up reserve",Assumptions!$B:$B,0),MATCH(B42,Assumptions!$C$3:$E$3,0))</f>
      </c>
      <c r="O42">
        <f>SUM(E42)</f>
      </c>
    </row>
    <row r="43">
      <c r="A43">
        <v>6</v>
      </c>
      <c r="B43" t="inlineStr">
        <is>
          <t>Base</t>
        </is>
      </c>
      <c r="C43">
        <f>SUMIFS(Funnel!$H:$H,Funnel!$A:$A,A43,Funnel!$B:$B,B43)</f>
      </c>
      <c r="D43">
        <f>SUMIFS(Funnel!$J:$J,Funnel!$A:$A,A43,Funnel!$B:$B,B43)</f>
      </c>
      <c r="E43">
        <f>C43*INDEX(Assumptions!$C:$E,MATCH("Partner share of first buyers",Assumptions!$B:$B,0),MATCH(B43,Assumptions!$C$3:$E$3,0))*INDEX(Assumptions!$C:$E,MATCH("CPA per qualified player",Assumptions!$B:$B,0),MATCH(B43,Assumptions!$C$3:$E$3,0))*INDEX(Assumptions!$C:$E,MATCH("CPA approved rate",Assumptions!$B:$B,0),MATCH(B43,Assumptions!$C$3:$E$3,0))</f>
      </c>
      <c r="F43">
        <f>INDEX(Assumptions!$C:$E,MATCH("Monthly marketing fixed budget",Assumptions!$B:$B,0),MATCH(B43,Assumptions!$C$3:$E$3,0))</f>
      </c>
      <c r="G43">
        <f>D43*INDEX(Assumptions!$C:$E,MATCH("KYC required rate",Assumptions!$B:$B,0),MATCH(B43,Assumptions!$C$3:$E$3,0))*INDEX(Assumptions!$C:$E,MATCH("KYC cost per checked user",Assumptions!$B:$B,0),MATCH(B43,Assumptions!$C$3:$E$3,0))</f>
      </c>
      <c r="H43">
        <f>D43*INDEX(Assumptions!$C:$E,MATCH("Support cost per active user",Assumptions!$B:$B,0),MATCH(B43,Assumptions!$C$3:$E$3,0))</f>
      </c>
      <c r="I43">
        <f>INDEX(Assumptions!$C:$E,MATCH("Monthly product/dev/ops cost",Assumptions!$B:$B,0),MATCH(B43,Assumptions!$C$3:$E$3,0))</f>
      </c>
      <c r="J43">
        <f>INDEX(Assumptions!$C:$E,MATCH("Monthly legal/compliance reserve",Assumptions!$B:$B,0),MATCH(B43,Assumptions!$C$3:$E$3,0))</f>
      </c>
      <c r="K43">
        <f>INDEX(Assumptions!$C:$E,MATCH("Monthly oracle/data cost",Assumptions!$B:$B,0),MATCH(B43,Assumptions!$C$3:$E$3,0))</f>
      </c>
      <c r="L43">
        <f>INDEX(Assumptions!$C:$E,MATCH("Monthly infrastructure cost",Assumptions!$B:$B,0),MATCH(B43,Assumptions!$C$3:$E$3,0))</f>
      </c>
      <c r="M43">
        <f>INDEX(Assumptions!$C:$E,MATCH("Monthly audit/security reserve",Assumptions!$B:$B,0),MATCH(B43,Assumptions!$C$3:$E$3,0))</f>
      </c>
      <c r="N43">
        <f>INDEX(Assumptions!$C:$E,MATCH("Monthly jackpot top-up reserve",Assumptions!$B:$B,0),MATCH(B43,Assumptions!$C$3:$E$3,0))</f>
      </c>
      <c r="O43">
        <f>SUM(E43)</f>
      </c>
    </row>
    <row r="44">
      <c r="A44">
        <v>7</v>
      </c>
      <c r="B44" t="inlineStr">
        <is>
          <t>Base</t>
        </is>
      </c>
      <c r="C44">
        <f>SUMIFS(Funnel!$H:$H,Funnel!$A:$A,A44,Funnel!$B:$B,B44)</f>
      </c>
      <c r="D44">
        <f>SUMIFS(Funnel!$J:$J,Funnel!$A:$A,A44,Funnel!$B:$B,B44)</f>
      </c>
      <c r="E44">
        <f>C44*INDEX(Assumptions!$C:$E,MATCH("Partner share of first buyers",Assumptions!$B:$B,0),MATCH(B44,Assumptions!$C$3:$E$3,0))*INDEX(Assumptions!$C:$E,MATCH("CPA per qualified player",Assumptions!$B:$B,0),MATCH(B44,Assumptions!$C$3:$E$3,0))*INDEX(Assumptions!$C:$E,MATCH("CPA approved rate",Assumptions!$B:$B,0),MATCH(B44,Assumptions!$C$3:$E$3,0))</f>
      </c>
      <c r="F44">
        <f>INDEX(Assumptions!$C:$E,MATCH("Monthly marketing fixed budget",Assumptions!$B:$B,0),MATCH(B44,Assumptions!$C$3:$E$3,0))</f>
      </c>
      <c r="G44">
        <f>D44*INDEX(Assumptions!$C:$E,MATCH("KYC required rate",Assumptions!$B:$B,0),MATCH(B44,Assumptions!$C$3:$E$3,0))*INDEX(Assumptions!$C:$E,MATCH("KYC cost per checked user",Assumptions!$B:$B,0),MATCH(B44,Assumptions!$C$3:$E$3,0))</f>
      </c>
      <c r="H44">
        <f>D44*INDEX(Assumptions!$C:$E,MATCH("Support cost per active user",Assumptions!$B:$B,0),MATCH(B44,Assumptions!$C$3:$E$3,0))</f>
      </c>
      <c r="I44">
        <f>INDEX(Assumptions!$C:$E,MATCH("Monthly product/dev/ops cost",Assumptions!$B:$B,0),MATCH(B44,Assumptions!$C$3:$E$3,0))</f>
      </c>
      <c r="J44">
        <f>INDEX(Assumptions!$C:$E,MATCH("Monthly legal/compliance reserve",Assumptions!$B:$B,0),MATCH(B44,Assumptions!$C$3:$E$3,0))</f>
      </c>
      <c r="K44">
        <f>INDEX(Assumptions!$C:$E,MATCH("Monthly oracle/data cost",Assumptions!$B:$B,0),MATCH(B44,Assumptions!$C$3:$E$3,0))</f>
      </c>
      <c r="L44">
        <f>INDEX(Assumptions!$C:$E,MATCH("Monthly infrastructure cost",Assumptions!$B:$B,0),MATCH(B44,Assumptions!$C$3:$E$3,0))</f>
      </c>
      <c r="M44">
        <f>INDEX(Assumptions!$C:$E,MATCH("Monthly audit/security reserve",Assumptions!$B:$B,0),MATCH(B44,Assumptions!$C$3:$E$3,0))</f>
      </c>
      <c r="N44">
        <f>INDEX(Assumptions!$C:$E,MATCH("Monthly jackpot top-up reserve",Assumptions!$B:$B,0),MATCH(B44,Assumptions!$C$3:$E$3,0))</f>
      </c>
      <c r="O44">
        <f>SUM(E44)</f>
      </c>
    </row>
    <row r="45">
      <c r="A45">
        <v>8</v>
      </c>
      <c r="B45" t="inlineStr">
        <is>
          <t>Base</t>
        </is>
      </c>
      <c r="C45">
        <f>SUMIFS(Funnel!$H:$H,Funnel!$A:$A,A45,Funnel!$B:$B,B45)</f>
      </c>
      <c r="D45">
        <f>SUMIFS(Funnel!$J:$J,Funnel!$A:$A,A45,Funnel!$B:$B,B45)</f>
      </c>
      <c r="E45">
        <f>C45*INDEX(Assumptions!$C:$E,MATCH("Partner share of first buyers",Assumptions!$B:$B,0),MATCH(B45,Assumptions!$C$3:$E$3,0))*INDEX(Assumptions!$C:$E,MATCH("CPA per qualified player",Assumptions!$B:$B,0),MATCH(B45,Assumptions!$C$3:$E$3,0))*INDEX(Assumptions!$C:$E,MATCH("CPA approved rate",Assumptions!$B:$B,0),MATCH(B45,Assumptions!$C$3:$E$3,0))</f>
      </c>
      <c r="F45">
        <f>INDEX(Assumptions!$C:$E,MATCH("Monthly marketing fixed budget",Assumptions!$B:$B,0),MATCH(B45,Assumptions!$C$3:$E$3,0))</f>
      </c>
      <c r="G45">
        <f>D45*INDEX(Assumptions!$C:$E,MATCH("KYC required rate",Assumptions!$B:$B,0),MATCH(B45,Assumptions!$C$3:$E$3,0))*INDEX(Assumptions!$C:$E,MATCH("KYC cost per checked user",Assumptions!$B:$B,0),MATCH(B45,Assumptions!$C$3:$E$3,0))</f>
      </c>
      <c r="H45">
        <f>D45*INDEX(Assumptions!$C:$E,MATCH("Support cost per active user",Assumptions!$B:$B,0),MATCH(B45,Assumptions!$C$3:$E$3,0))</f>
      </c>
      <c r="I45">
        <f>INDEX(Assumptions!$C:$E,MATCH("Monthly product/dev/ops cost",Assumptions!$B:$B,0),MATCH(B45,Assumptions!$C$3:$E$3,0))</f>
      </c>
      <c r="J45">
        <f>INDEX(Assumptions!$C:$E,MATCH("Monthly legal/compliance reserve",Assumptions!$B:$B,0),MATCH(B45,Assumptions!$C$3:$E$3,0))</f>
      </c>
      <c r="K45">
        <f>INDEX(Assumptions!$C:$E,MATCH("Monthly oracle/data cost",Assumptions!$B:$B,0),MATCH(B45,Assumptions!$C$3:$E$3,0))</f>
      </c>
      <c r="L45">
        <f>INDEX(Assumptions!$C:$E,MATCH("Monthly infrastructure cost",Assumptions!$B:$B,0),MATCH(B45,Assumptions!$C$3:$E$3,0))</f>
      </c>
      <c r="M45">
        <f>INDEX(Assumptions!$C:$E,MATCH("Monthly audit/security reserve",Assumptions!$B:$B,0),MATCH(B45,Assumptions!$C$3:$E$3,0))</f>
      </c>
      <c r="N45">
        <f>INDEX(Assumptions!$C:$E,MATCH("Monthly jackpot top-up reserve",Assumptions!$B:$B,0),MATCH(B45,Assumptions!$C$3:$E$3,0))</f>
      </c>
      <c r="O45">
        <f>SUM(E45)</f>
      </c>
    </row>
    <row r="46">
      <c r="A46">
        <v>9</v>
      </c>
      <c r="B46" t="inlineStr">
        <is>
          <t>Base</t>
        </is>
      </c>
      <c r="C46">
        <f>SUMIFS(Funnel!$H:$H,Funnel!$A:$A,A46,Funnel!$B:$B,B46)</f>
      </c>
      <c r="D46">
        <f>SUMIFS(Funnel!$J:$J,Funnel!$A:$A,A46,Funnel!$B:$B,B46)</f>
      </c>
      <c r="E46">
        <f>C46*INDEX(Assumptions!$C:$E,MATCH("Partner share of first buyers",Assumptions!$B:$B,0),MATCH(B46,Assumptions!$C$3:$E$3,0))*INDEX(Assumptions!$C:$E,MATCH("CPA per qualified player",Assumptions!$B:$B,0),MATCH(B46,Assumptions!$C$3:$E$3,0))*INDEX(Assumptions!$C:$E,MATCH("CPA approved rate",Assumptions!$B:$B,0),MATCH(B46,Assumptions!$C$3:$E$3,0))</f>
      </c>
      <c r="F46">
        <f>INDEX(Assumptions!$C:$E,MATCH("Monthly marketing fixed budget",Assumptions!$B:$B,0),MATCH(B46,Assumptions!$C$3:$E$3,0))</f>
      </c>
      <c r="G46">
        <f>D46*INDEX(Assumptions!$C:$E,MATCH("KYC required rate",Assumptions!$B:$B,0),MATCH(B46,Assumptions!$C$3:$E$3,0))*INDEX(Assumptions!$C:$E,MATCH("KYC cost per checked user",Assumptions!$B:$B,0),MATCH(B46,Assumptions!$C$3:$E$3,0))</f>
      </c>
      <c r="H46">
        <f>D46*INDEX(Assumptions!$C:$E,MATCH("Support cost per active user",Assumptions!$B:$B,0),MATCH(B46,Assumptions!$C$3:$E$3,0))</f>
      </c>
      <c r="I46">
        <f>INDEX(Assumptions!$C:$E,MATCH("Monthly product/dev/ops cost",Assumptions!$B:$B,0),MATCH(B46,Assumptions!$C$3:$E$3,0))</f>
      </c>
      <c r="J46">
        <f>INDEX(Assumptions!$C:$E,MATCH("Monthly legal/compliance reserve",Assumptions!$B:$B,0),MATCH(B46,Assumptions!$C$3:$E$3,0))</f>
      </c>
      <c r="K46">
        <f>INDEX(Assumptions!$C:$E,MATCH("Monthly oracle/data cost",Assumptions!$B:$B,0),MATCH(B46,Assumptions!$C$3:$E$3,0))</f>
      </c>
      <c r="L46">
        <f>INDEX(Assumptions!$C:$E,MATCH("Monthly infrastructure cost",Assumptions!$B:$B,0),MATCH(B46,Assumptions!$C$3:$E$3,0))</f>
      </c>
      <c r="M46">
        <f>INDEX(Assumptions!$C:$E,MATCH("Monthly audit/security reserve",Assumptions!$B:$B,0),MATCH(B46,Assumptions!$C$3:$E$3,0))</f>
      </c>
      <c r="N46">
        <f>INDEX(Assumptions!$C:$E,MATCH("Monthly jackpot top-up reserve",Assumptions!$B:$B,0),MATCH(B46,Assumptions!$C$3:$E$3,0))</f>
      </c>
      <c r="O46">
        <f>SUM(E46)</f>
      </c>
    </row>
    <row r="47">
      <c r="A47">
        <v>10</v>
      </c>
      <c r="B47" t="inlineStr">
        <is>
          <t>Base</t>
        </is>
      </c>
      <c r="C47">
        <f>SUMIFS(Funnel!$H:$H,Funnel!$A:$A,A47,Funnel!$B:$B,B47)</f>
      </c>
      <c r="D47">
        <f>SUMIFS(Funnel!$J:$J,Funnel!$A:$A,A47,Funnel!$B:$B,B47)</f>
      </c>
      <c r="E47">
        <f>C47*INDEX(Assumptions!$C:$E,MATCH("Partner share of first buyers",Assumptions!$B:$B,0),MATCH(B47,Assumptions!$C$3:$E$3,0))*INDEX(Assumptions!$C:$E,MATCH("CPA per qualified player",Assumptions!$B:$B,0),MATCH(B47,Assumptions!$C$3:$E$3,0))*INDEX(Assumptions!$C:$E,MATCH("CPA approved rate",Assumptions!$B:$B,0),MATCH(B47,Assumptions!$C$3:$E$3,0))</f>
      </c>
      <c r="F47">
        <f>INDEX(Assumptions!$C:$E,MATCH("Monthly marketing fixed budget",Assumptions!$B:$B,0),MATCH(B47,Assumptions!$C$3:$E$3,0))</f>
      </c>
      <c r="G47">
        <f>D47*INDEX(Assumptions!$C:$E,MATCH("KYC required rate",Assumptions!$B:$B,0),MATCH(B47,Assumptions!$C$3:$E$3,0))*INDEX(Assumptions!$C:$E,MATCH("KYC cost per checked user",Assumptions!$B:$B,0),MATCH(B47,Assumptions!$C$3:$E$3,0))</f>
      </c>
      <c r="H47">
        <f>D47*INDEX(Assumptions!$C:$E,MATCH("Support cost per active user",Assumptions!$B:$B,0),MATCH(B47,Assumptions!$C$3:$E$3,0))</f>
      </c>
      <c r="I47">
        <f>INDEX(Assumptions!$C:$E,MATCH("Monthly product/dev/ops cost",Assumptions!$B:$B,0),MATCH(B47,Assumptions!$C$3:$E$3,0))</f>
      </c>
      <c r="J47">
        <f>INDEX(Assumptions!$C:$E,MATCH("Monthly legal/compliance reserve",Assumptions!$B:$B,0),MATCH(B47,Assumptions!$C$3:$E$3,0))</f>
      </c>
      <c r="K47">
        <f>INDEX(Assumptions!$C:$E,MATCH("Monthly oracle/data cost",Assumptions!$B:$B,0),MATCH(B47,Assumptions!$C$3:$E$3,0))</f>
      </c>
      <c r="L47">
        <f>INDEX(Assumptions!$C:$E,MATCH("Monthly infrastructure cost",Assumptions!$B:$B,0),MATCH(B47,Assumptions!$C$3:$E$3,0))</f>
      </c>
      <c r="M47">
        <f>INDEX(Assumptions!$C:$E,MATCH("Monthly audit/security reserve",Assumptions!$B:$B,0),MATCH(B47,Assumptions!$C$3:$E$3,0))</f>
      </c>
      <c r="N47">
        <f>INDEX(Assumptions!$C:$E,MATCH("Monthly jackpot top-up reserve",Assumptions!$B:$B,0),MATCH(B47,Assumptions!$C$3:$E$3,0))</f>
      </c>
      <c r="O47">
        <f>SUM(E47)</f>
      </c>
    </row>
    <row r="48">
      <c r="A48">
        <v>11</v>
      </c>
      <c r="B48" t="inlineStr">
        <is>
          <t>Base</t>
        </is>
      </c>
      <c r="C48">
        <f>SUMIFS(Funnel!$H:$H,Funnel!$A:$A,A48,Funnel!$B:$B,B48)</f>
      </c>
      <c r="D48">
        <f>SUMIFS(Funnel!$J:$J,Funnel!$A:$A,A48,Funnel!$B:$B,B48)</f>
      </c>
      <c r="E48">
        <f>C48*INDEX(Assumptions!$C:$E,MATCH("Partner share of first buyers",Assumptions!$B:$B,0),MATCH(B48,Assumptions!$C$3:$E$3,0))*INDEX(Assumptions!$C:$E,MATCH("CPA per qualified player",Assumptions!$B:$B,0),MATCH(B48,Assumptions!$C$3:$E$3,0))*INDEX(Assumptions!$C:$E,MATCH("CPA approved rate",Assumptions!$B:$B,0),MATCH(B48,Assumptions!$C$3:$E$3,0))</f>
      </c>
      <c r="F48">
        <f>INDEX(Assumptions!$C:$E,MATCH("Monthly marketing fixed budget",Assumptions!$B:$B,0),MATCH(B48,Assumptions!$C$3:$E$3,0))</f>
      </c>
      <c r="G48">
        <f>D48*INDEX(Assumptions!$C:$E,MATCH("KYC required rate",Assumptions!$B:$B,0),MATCH(B48,Assumptions!$C$3:$E$3,0))*INDEX(Assumptions!$C:$E,MATCH("KYC cost per checked user",Assumptions!$B:$B,0),MATCH(B48,Assumptions!$C$3:$E$3,0))</f>
      </c>
      <c r="H48">
        <f>D48*INDEX(Assumptions!$C:$E,MATCH("Support cost per active user",Assumptions!$B:$B,0),MATCH(B48,Assumptions!$C$3:$E$3,0))</f>
      </c>
      <c r="I48">
        <f>INDEX(Assumptions!$C:$E,MATCH("Monthly product/dev/ops cost",Assumptions!$B:$B,0),MATCH(B48,Assumptions!$C$3:$E$3,0))</f>
      </c>
      <c r="J48">
        <f>INDEX(Assumptions!$C:$E,MATCH("Monthly legal/compliance reserve",Assumptions!$B:$B,0),MATCH(B48,Assumptions!$C$3:$E$3,0))</f>
      </c>
      <c r="K48">
        <f>INDEX(Assumptions!$C:$E,MATCH("Monthly oracle/data cost",Assumptions!$B:$B,0),MATCH(B48,Assumptions!$C$3:$E$3,0))</f>
      </c>
      <c r="L48">
        <f>INDEX(Assumptions!$C:$E,MATCH("Monthly infrastructure cost",Assumptions!$B:$B,0),MATCH(B48,Assumptions!$C$3:$E$3,0))</f>
      </c>
      <c r="M48">
        <f>INDEX(Assumptions!$C:$E,MATCH("Monthly audit/security reserve",Assumptions!$B:$B,0),MATCH(B48,Assumptions!$C$3:$E$3,0))</f>
      </c>
      <c r="N48">
        <f>INDEX(Assumptions!$C:$E,MATCH("Monthly jackpot top-up reserve",Assumptions!$B:$B,0),MATCH(B48,Assumptions!$C$3:$E$3,0))</f>
      </c>
      <c r="O48">
        <f>SUM(E48)</f>
      </c>
    </row>
    <row r="49">
      <c r="A49">
        <v>12</v>
      </c>
      <c r="B49" t="inlineStr">
        <is>
          <t>Base</t>
        </is>
      </c>
      <c r="C49">
        <f>SUMIFS(Funnel!$H:$H,Funnel!$A:$A,A49,Funnel!$B:$B,B49)</f>
      </c>
      <c r="D49">
        <f>SUMIFS(Funnel!$J:$J,Funnel!$A:$A,A49,Funnel!$B:$B,B49)</f>
      </c>
      <c r="E49">
        <f>C49*INDEX(Assumptions!$C:$E,MATCH("Partner share of first buyers",Assumptions!$B:$B,0),MATCH(B49,Assumptions!$C$3:$E$3,0))*INDEX(Assumptions!$C:$E,MATCH("CPA per qualified player",Assumptions!$B:$B,0),MATCH(B49,Assumptions!$C$3:$E$3,0))*INDEX(Assumptions!$C:$E,MATCH("CPA approved rate",Assumptions!$B:$B,0),MATCH(B49,Assumptions!$C$3:$E$3,0))</f>
      </c>
      <c r="F49">
        <f>INDEX(Assumptions!$C:$E,MATCH("Monthly marketing fixed budget",Assumptions!$B:$B,0),MATCH(B49,Assumptions!$C$3:$E$3,0))</f>
      </c>
      <c r="G49">
        <f>D49*INDEX(Assumptions!$C:$E,MATCH("KYC required rate",Assumptions!$B:$B,0),MATCH(B49,Assumptions!$C$3:$E$3,0))*INDEX(Assumptions!$C:$E,MATCH("KYC cost per checked user",Assumptions!$B:$B,0),MATCH(B49,Assumptions!$C$3:$E$3,0))</f>
      </c>
      <c r="H49">
        <f>D49*INDEX(Assumptions!$C:$E,MATCH("Support cost per active user",Assumptions!$B:$B,0),MATCH(B49,Assumptions!$C$3:$E$3,0))</f>
      </c>
      <c r="I49">
        <f>INDEX(Assumptions!$C:$E,MATCH("Monthly product/dev/ops cost",Assumptions!$B:$B,0),MATCH(B49,Assumptions!$C$3:$E$3,0))</f>
      </c>
      <c r="J49">
        <f>INDEX(Assumptions!$C:$E,MATCH("Monthly legal/compliance reserve",Assumptions!$B:$B,0),MATCH(B49,Assumptions!$C$3:$E$3,0))</f>
      </c>
      <c r="K49">
        <f>INDEX(Assumptions!$C:$E,MATCH("Monthly oracle/data cost",Assumptions!$B:$B,0),MATCH(B49,Assumptions!$C$3:$E$3,0))</f>
      </c>
      <c r="L49">
        <f>INDEX(Assumptions!$C:$E,MATCH("Monthly infrastructure cost",Assumptions!$B:$B,0),MATCH(B49,Assumptions!$C$3:$E$3,0))</f>
      </c>
      <c r="M49">
        <f>INDEX(Assumptions!$C:$E,MATCH("Monthly audit/security reserve",Assumptions!$B:$B,0),MATCH(B49,Assumptions!$C$3:$E$3,0))</f>
      </c>
      <c r="N49">
        <f>INDEX(Assumptions!$C:$E,MATCH("Monthly jackpot top-up reserve",Assumptions!$B:$B,0),MATCH(B49,Assumptions!$C$3:$E$3,0))</f>
      </c>
      <c r="O49">
        <f>SUM(E49)</f>
      </c>
    </row>
    <row r="50">
      <c r="A50">
        <v>13</v>
      </c>
      <c r="B50" t="inlineStr">
        <is>
          <t>Base</t>
        </is>
      </c>
      <c r="C50">
        <f>SUMIFS(Funnel!$H:$H,Funnel!$A:$A,A50,Funnel!$B:$B,B50)</f>
      </c>
      <c r="D50">
        <f>SUMIFS(Funnel!$J:$J,Funnel!$A:$A,A50,Funnel!$B:$B,B50)</f>
      </c>
      <c r="E50">
        <f>C50*INDEX(Assumptions!$C:$E,MATCH("Partner share of first buyers",Assumptions!$B:$B,0),MATCH(B50,Assumptions!$C$3:$E$3,0))*INDEX(Assumptions!$C:$E,MATCH("CPA per qualified player",Assumptions!$B:$B,0),MATCH(B50,Assumptions!$C$3:$E$3,0))*INDEX(Assumptions!$C:$E,MATCH("CPA approved rate",Assumptions!$B:$B,0),MATCH(B50,Assumptions!$C$3:$E$3,0))</f>
      </c>
      <c r="F50">
        <f>INDEX(Assumptions!$C:$E,MATCH("Monthly marketing fixed budget",Assumptions!$B:$B,0),MATCH(B50,Assumptions!$C$3:$E$3,0))</f>
      </c>
      <c r="G50">
        <f>D50*INDEX(Assumptions!$C:$E,MATCH("KYC required rate",Assumptions!$B:$B,0),MATCH(B50,Assumptions!$C$3:$E$3,0))*INDEX(Assumptions!$C:$E,MATCH("KYC cost per checked user",Assumptions!$B:$B,0),MATCH(B50,Assumptions!$C$3:$E$3,0))</f>
      </c>
      <c r="H50">
        <f>D50*INDEX(Assumptions!$C:$E,MATCH("Support cost per active user",Assumptions!$B:$B,0),MATCH(B50,Assumptions!$C$3:$E$3,0))</f>
      </c>
      <c r="I50">
        <f>INDEX(Assumptions!$C:$E,MATCH("Monthly product/dev/ops cost",Assumptions!$B:$B,0),MATCH(B50,Assumptions!$C$3:$E$3,0))</f>
      </c>
      <c r="J50">
        <f>INDEX(Assumptions!$C:$E,MATCH("Monthly legal/compliance reserve",Assumptions!$B:$B,0),MATCH(B50,Assumptions!$C$3:$E$3,0))</f>
      </c>
      <c r="K50">
        <f>INDEX(Assumptions!$C:$E,MATCH("Monthly oracle/data cost",Assumptions!$B:$B,0),MATCH(B50,Assumptions!$C$3:$E$3,0))</f>
      </c>
      <c r="L50">
        <f>INDEX(Assumptions!$C:$E,MATCH("Monthly infrastructure cost",Assumptions!$B:$B,0),MATCH(B50,Assumptions!$C$3:$E$3,0))</f>
      </c>
      <c r="M50">
        <f>INDEX(Assumptions!$C:$E,MATCH("Monthly audit/security reserve",Assumptions!$B:$B,0),MATCH(B50,Assumptions!$C$3:$E$3,0))</f>
      </c>
      <c r="N50">
        <f>INDEX(Assumptions!$C:$E,MATCH("Monthly jackpot top-up reserve",Assumptions!$B:$B,0),MATCH(B50,Assumptions!$C$3:$E$3,0))</f>
      </c>
      <c r="O50">
        <f>SUM(E50)</f>
      </c>
    </row>
    <row r="51">
      <c r="A51">
        <v>14</v>
      </c>
      <c r="B51" t="inlineStr">
        <is>
          <t>Base</t>
        </is>
      </c>
      <c r="C51">
        <f>SUMIFS(Funnel!$H:$H,Funnel!$A:$A,A51,Funnel!$B:$B,B51)</f>
      </c>
      <c r="D51">
        <f>SUMIFS(Funnel!$J:$J,Funnel!$A:$A,A51,Funnel!$B:$B,B51)</f>
      </c>
      <c r="E51">
        <f>C51*INDEX(Assumptions!$C:$E,MATCH("Partner share of first buyers",Assumptions!$B:$B,0),MATCH(B51,Assumptions!$C$3:$E$3,0))*INDEX(Assumptions!$C:$E,MATCH("CPA per qualified player",Assumptions!$B:$B,0),MATCH(B51,Assumptions!$C$3:$E$3,0))*INDEX(Assumptions!$C:$E,MATCH("CPA approved rate",Assumptions!$B:$B,0),MATCH(B51,Assumptions!$C$3:$E$3,0))</f>
      </c>
      <c r="F51">
        <f>INDEX(Assumptions!$C:$E,MATCH("Monthly marketing fixed budget",Assumptions!$B:$B,0),MATCH(B51,Assumptions!$C$3:$E$3,0))</f>
      </c>
      <c r="G51">
        <f>D51*INDEX(Assumptions!$C:$E,MATCH("KYC required rate",Assumptions!$B:$B,0),MATCH(B51,Assumptions!$C$3:$E$3,0))*INDEX(Assumptions!$C:$E,MATCH("KYC cost per checked user",Assumptions!$B:$B,0),MATCH(B51,Assumptions!$C$3:$E$3,0))</f>
      </c>
      <c r="H51">
        <f>D51*INDEX(Assumptions!$C:$E,MATCH("Support cost per active user",Assumptions!$B:$B,0),MATCH(B51,Assumptions!$C$3:$E$3,0))</f>
      </c>
      <c r="I51">
        <f>INDEX(Assumptions!$C:$E,MATCH("Monthly product/dev/ops cost",Assumptions!$B:$B,0),MATCH(B51,Assumptions!$C$3:$E$3,0))</f>
      </c>
      <c r="J51">
        <f>INDEX(Assumptions!$C:$E,MATCH("Monthly legal/compliance reserve",Assumptions!$B:$B,0),MATCH(B51,Assumptions!$C$3:$E$3,0))</f>
      </c>
      <c r="K51">
        <f>INDEX(Assumptions!$C:$E,MATCH("Monthly oracle/data cost",Assumptions!$B:$B,0),MATCH(B51,Assumptions!$C$3:$E$3,0))</f>
      </c>
      <c r="L51">
        <f>INDEX(Assumptions!$C:$E,MATCH("Monthly infrastructure cost",Assumptions!$B:$B,0),MATCH(B51,Assumptions!$C$3:$E$3,0))</f>
      </c>
      <c r="M51">
        <f>INDEX(Assumptions!$C:$E,MATCH("Monthly audit/security reserve",Assumptions!$B:$B,0),MATCH(B51,Assumptions!$C$3:$E$3,0))</f>
      </c>
      <c r="N51">
        <f>INDEX(Assumptions!$C:$E,MATCH("Monthly jackpot top-up reserve",Assumptions!$B:$B,0),MATCH(B51,Assumptions!$C$3:$E$3,0))</f>
      </c>
      <c r="O51">
        <f>SUM(E51)</f>
      </c>
    </row>
    <row r="52">
      <c r="A52">
        <v>15</v>
      </c>
      <c r="B52" t="inlineStr">
        <is>
          <t>Base</t>
        </is>
      </c>
      <c r="C52">
        <f>SUMIFS(Funnel!$H:$H,Funnel!$A:$A,A52,Funnel!$B:$B,B52)</f>
      </c>
      <c r="D52">
        <f>SUMIFS(Funnel!$J:$J,Funnel!$A:$A,A52,Funnel!$B:$B,B52)</f>
      </c>
      <c r="E52">
        <f>C52*INDEX(Assumptions!$C:$E,MATCH("Partner share of first buyers",Assumptions!$B:$B,0),MATCH(B52,Assumptions!$C$3:$E$3,0))*INDEX(Assumptions!$C:$E,MATCH("CPA per qualified player",Assumptions!$B:$B,0),MATCH(B52,Assumptions!$C$3:$E$3,0))*INDEX(Assumptions!$C:$E,MATCH("CPA approved rate",Assumptions!$B:$B,0),MATCH(B52,Assumptions!$C$3:$E$3,0))</f>
      </c>
      <c r="F52">
        <f>INDEX(Assumptions!$C:$E,MATCH("Monthly marketing fixed budget",Assumptions!$B:$B,0),MATCH(B52,Assumptions!$C$3:$E$3,0))</f>
      </c>
      <c r="G52">
        <f>D52*INDEX(Assumptions!$C:$E,MATCH("KYC required rate",Assumptions!$B:$B,0),MATCH(B52,Assumptions!$C$3:$E$3,0))*INDEX(Assumptions!$C:$E,MATCH("KYC cost per checked user",Assumptions!$B:$B,0),MATCH(B52,Assumptions!$C$3:$E$3,0))</f>
      </c>
      <c r="H52">
        <f>D52*INDEX(Assumptions!$C:$E,MATCH("Support cost per active user",Assumptions!$B:$B,0),MATCH(B52,Assumptions!$C$3:$E$3,0))</f>
      </c>
      <c r="I52">
        <f>INDEX(Assumptions!$C:$E,MATCH("Monthly product/dev/ops cost",Assumptions!$B:$B,0),MATCH(B52,Assumptions!$C$3:$E$3,0))</f>
      </c>
      <c r="J52">
        <f>INDEX(Assumptions!$C:$E,MATCH("Monthly legal/compliance reserve",Assumptions!$B:$B,0),MATCH(B52,Assumptions!$C$3:$E$3,0))</f>
      </c>
      <c r="K52">
        <f>INDEX(Assumptions!$C:$E,MATCH("Monthly oracle/data cost",Assumptions!$B:$B,0),MATCH(B52,Assumptions!$C$3:$E$3,0))</f>
      </c>
      <c r="L52">
        <f>INDEX(Assumptions!$C:$E,MATCH("Monthly infrastructure cost",Assumptions!$B:$B,0),MATCH(B52,Assumptions!$C$3:$E$3,0))</f>
      </c>
      <c r="M52">
        <f>INDEX(Assumptions!$C:$E,MATCH("Monthly audit/security reserve",Assumptions!$B:$B,0),MATCH(B52,Assumptions!$C$3:$E$3,0))</f>
      </c>
      <c r="N52">
        <f>INDEX(Assumptions!$C:$E,MATCH("Monthly jackpot top-up reserve",Assumptions!$B:$B,0),MATCH(B52,Assumptions!$C$3:$E$3,0))</f>
      </c>
      <c r="O52">
        <f>SUM(E52)</f>
      </c>
    </row>
    <row r="53">
      <c r="A53">
        <v>16</v>
      </c>
      <c r="B53" t="inlineStr">
        <is>
          <t>Base</t>
        </is>
      </c>
      <c r="C53">
        <f>SUMIFS(Funnel!$H:$H,Funnel!$A:$A,A53,Funnel!$B:$B,B53)</f>
      </c>
      <c r="D53">
        <f>SUMIFS(Funnel!$J:$J,Funnel!$A:$A,A53,Funnel!$B:$B,B53)</f>
      </c>
      <c r="E53">
        <f>C53*INDEX(Assumptions!$C:$E,MATCH("Partner share of first buyers",Assumptions!$B:$B,0),MATCH(B53,Assumptions!$C$3:$E$3,0))*INDEX(Assumptions!$C:$E,MATCH("CPA per qualified player",Assumptions!$B:$B,0),MATCH(B53,Assumptions!$C$3:$E$3,0))*INDEX(Assumptions!$C:$E,MATCH("CPA approved rate",Assumptions!$B:$B,0),MATCH(B53,Assumptions!$C$3:$E$3,0))</f>
      </c>
      <c r="F53">
        <f>INDEX(Assumptions!$C:$E,MATCH("Monthly marketing fixed budget",Assumptions!$B:$B,0),MATCH(B53,Assumptions!$C$3:$E$3,0))</f>
      </c>
      <c r="G53">
        <f>D53*INDEX(Assumptions!$C:$E,MATCH("KYC required rate",Assumptions!$B:$B,0),MATCH(B53,Assumptions!$C$3:$E$3,0))*INDEX(Assumptions!$C:$E,MATCH("KYC cost per checked user",Assumptions!$B:$B,0),MATCH(B53,Assumptions!$C$3:$E$3,0))</f>
      </c>
      <c r="H53">
        <f>D53*INDEX(Assumptions!$C:$E,MATCH("Support cost per active user",Assumptions!$B:$B,0),MATCH(B53,Assumptions!$C$3:$E$3,0))</f>
      </c>
      <c r="I53">
        <f>INDEX(Assumptions!$C:$E,MATCH("Monthly product/dev/ops cost",Assumptions!$B:$B,0),MATCH(B53,Assumptions!$C$3:$E$3,0))</f>
      </c>
      <c r="J53">
        <f>INDEX(Assumptions!$C:$E,MATCH("Monthly legal/compliance reserve",Assumptions!$B:$B,0),MATCH(B53,Assumptions!$C$3:$E$3,0))</f>
      </c>
      <c r="K53">
        <f>INDEX(Assumptions!$C:$E,MATCH("Monthly oracle/data cost",Assumptions!$B:$B,0),MATCH(B53,Assumptions!$C$3:$E$3,0))</f>
      </c>
      <c r="L53">
        <f>INDEX(Assumptions!$C:$E,MATCH("Monthly infrastructure cost",Assumptions!$B:$B,0),MATCH(B53,Assumptions!$C$3:$E$3,0))</f>
      </c>
      <c r="M53">
        <f>INDEX(Assumptions!$C:$E,MATCH("Monthly audit/security reserve",Assumptions!$B:$B,0),MATCH(B53,Assumptions!$C$3:$E$3,0))</f>
      </c>
      <c r="N53">
        <f>INDEX(Assumptions!$C:$E,MATCH("Monthly jackpot top-up reserve",Assumptions!$B:$B,0),MATCH(B53,Assumptions!$C$3:$E$3,0))</f>
      </c>
      <c r="O53">
        <f>SUM(E53)</f>
      </c>
    </row>
    <row r="54">
      <c r="A54">
        <v>17</v>
      </c>
      <c r="B54" t="inlineStr">
        <is>
          <t>Base</t>
        </is>
      </c>
      <c r="C54">
        <f>SUMIFS(Funnel!$H:$H,Funnel!$A:$A,A54,Funnel!$B:$B,B54)</f>
      </c>
      <c r="D54">
        <f>SUMIFS(Funnel!$J:$J,Funnel!$A:$A,A54,Funnel!$B:$B,B54)</f>
      </c>
      <c r="E54">
        <f>C54*INDEX(Assumptions!$C:$E,MATCH("Partner share of first buyers",Assumptions!$B:$B,0),MATCH(B54,Assumptions!$C$3:$E$3,0))*INDEX(Assumptions!$C:$E,MATCH("CPA per qualified player",Assumptions!$B:$B,0),MATCH(B54,Assumptions!$C$3:$E$3,0))*INDEX(Assumptions!$C:$E,MATCH("CPA approved rate",Assumptions!$B:$B,0),MATCH(B54,Assumptions!$C$3:$E$3,0))</f>
      </c>
      <c r="F54">
        <f>INDEX(Assumptions!$C:$E,MATCH("Monthly marketing fixed budget",Assumptions!$B:$B,0),MATCH(B54,Assumptions!$C$3:$E$3,0))</f>
      </c>
      <c r="G54">
        <f>D54*INDEX(Assumptions!$C:$E,MATCH("KYC required rate",Assumptions!$B:$B,0),MATCH(B54,Assumptions!$C$3:$E$3,0))*INDEX(Assumptions!$C:$E,MATCH("KYC cost per checked user",Assumptions!$B:$B,0),MATCH(B54,Assumptions!$C$3:$E$3,0))</f>
      </c>
      <c r="H54">
        <f>D54*INDEX(Assumptions!$C:$E,MATCH("Support cost per active user",Assumptions!$B:$B,0),MATCH(B54,Assumptions!$C$3:$E$3,0))</f>
      </c>
      <c r="I54">
        <f>INDEX(Assumptions!$C:$E,MATCH("Monthly product/dev/ops cost",Assumptions!$B:$B,0),MATCH(B54,Assumptions!$C$3:$E$3,0))</f>
      </c>
      <c r="J54">
        <f>INDEX(Assumptions!$C:$E,MATCH("Monthly legal/compliance reserve",Assumptions!$B:$B,0),MATCH(B54,Assumptions!$C$3:$E$3,0))</f>
      </c>
      <c r="K54">
        <f>INDEX(Assumptions!$C:$E,MATCH("Monthly oracle/data cost",Assumptions!$B:$B,0),MATCH(B54,Assumptions!$C$3:$E$3,0))</f>
      </c>
      <c r="L54">
        <f>INDEX(Assumptions!$C:$E,MATCH("Monthly infrastructure cost",Assumptions!$B:$B,0),MATCH(B54,Assumptions!$C$3:$E$3,0))</f>
      </c>
      <c r="M54">
        <f>INDEX(Assumptions!$C:$E,MATCH("Monthly audit/security reserve",Assumptions!$B:$B,0),MATCH(B54,Assumptions!$C$3:$E$3,0))</f>
      </c>
      <c r="N54">
        <f>INDEX(Assumptions!$C:$E,MATCH("Monthly jackpot top-up reserve",Assumptions!$B:$B,0),MATCH(B54,Assumptions!$C$3:$E$3,0))</f>
      </c>
      <c r="O54">
        <f>SUM(E54)</f>
      </c>
    </row>
    <row r="55">
      <c r="A55">
        <v>18</v>
      </c>
      <c r="B55" t="inlineStr">
        <is>
          <t>Base</t>
        </is>
      </c>
      <c r="C55">
        <f>SUMIFS(Funnel!$H:$H,Funnel!$A:$A,A55,Funnel!$B:$B,B55)</f>
      </c>
      <c r="D55">
        <f>SUMIFS(Funnel!$J:$J,Funnel!$A:$A,A55,Funnel!$B:$B,B55)</f>
      </c>
      <c r="E55">
        <f>C55*INDEX(Assumptions!$C:$E,MATCH("Partner share of first buyers",Assumptions!$B:$B,0),MATCH(B55,Assumptions!$C$3:$E$3,0))*INDEX(Assumptions!$C:$E,MATCH("CPA per qualified player",Assumptions!$B:$B,0),MATCH(B55,Assumptions!$C$3:$E$3,0))*INDEX(Assumptions!$C:$E,MATCH("CPA approved rate",Assumptions!$B:$B,0),MATCH(B55,Assumptions!$C$3:$E$3,0))</f>
      </c>
      <c r="F55">
        <f>INDEX(Assumptions!$C:$E,MATCH("Monthly marketing fixed budget",Assumptions!$B:$B,0),MATCH(B55,Assumptions!$C$3:$E$3,0))</f>
      </c>
      <c r="G55">
        <f>D55*INDEX(Assumptions!$C:$E,MATCH("KYC required rate",Assumptions!$B:$B,0),MATCH(B55,Assumptions!$C$3:$E$3,0))*INDEX(Assumptions!$C:$E,MATCH("KYC cost per checked user",Assumptions!$B:$B,0),MATCH(B55,Assumptions!$C$3:$E$3,0))</f>
      </c>
      <c r="H55">
        <f>D55*INDEX(Assumptions!$C:$E,MATCH("Support cost per active user",Assumptions!$B:$B,0),MATCH(B55,Assumptions!$C$3:$E$3,0))</f>
      </c>
      <c r="I55">
        <f>INDEX(Assumptions!$C:$E,MATCH("Monthly product/dev/ops cost",Assumptions!$B:$B,0),MATCH(B55,Assumptions!$C$3:$E$3,0))</f>
      </c>
      <c r="J55">
        <f>INDEX(Assumptions!$C:$E,MATCH("Monthly legal/compliance reserve",Assumptions!$B:$B,0),MATCH(B55,Assumptions!$C$3:$E$3,0))</f>
      </c>
      <c r="K55">
        <f>INDEX(Assumptions!$C:$E,MATCH("Monthly oracle/data cost",Assumptions!$B:$B,0),MATCH(B55,Assumptions!$C$3:$E$3,0))</f>
      </c>
      <c r="L55">
        <f>INDEX(Assumptions!$C:$E,MATCH("Monthly infrastructure cost",Assumptions!$B:$B,0),MATCH(B55,Assumptions!$C$3:$E$3,0))</f>
      </c>
      <c r="M55">
        <f>INDEX(Assumptions!$C:$E,MATCH("Monthly audit/security reserve",Assumptions!$B:$B,0),MATCH(B55,Assumptions!$C$3:$E$3,0))</f>
      </c>
      <c r="N55">
        <f>INDEX(Assumptions!$C:$E,MATCH("Monthly jackpot top-up reserve",Assumptions!$B:$B,0),MATCH(B55,Assumptions!$C$3:$E$3,0))</f>
      </c>
      <c r="O55">
        <f>SUM(E55)</f>
      </c>
    </row>
    <row r="56">
      <c r="A56">
        <v>19</v>
      </c>
      <c r="B56" t="inlineStr">
        <is>
          <t>Base</t>
        </is>
      </c>
      <c r="C56">
        <f>SUMIFS(Funnel!$H:$H,Funnel!$A:$A,A56,Funnel!$B:$B,B56)</f>
      </c>
      <c r="D56">
        <f>SUMIFS(Funnel!$J:$J,Funnel!$A:$A,A56,Funnel!$B:$B,B56)</f>
      </c>
      <c r="E56">
        <f>C56*INDEX(Assumptions!$C:$E,MATCH("Partner share of first buyers",Assumptions!$B:$B,0),MATCH(B56,Assumptions!$C$3:$E$3,0))*INDEX(Assumptions!$C:$E,MATCH("CPA per qualified player",Assumptions!$B:$B,0),MATCH(B56,Assumptions!$C$3:$E$3,0))*INDEX(Assumptions!$C:$E,MATCH("CPA approved rate",Assumptions!$B:$B,0),MATCH(B56,Assumptions!$C$3:$E$3,0))</f>
      </c>
      <c r="F56">
        <f>INDEX(Assumptions!$C:$E,MATCH("Monthly marketing fixed budget",Assumptions!$B:$B,0),MATCH(B56,Assumptions!$C$3:$E$3,0))</f>
      </c>
      <c r="G56">
        <f>D56*INDEX(Assumptions!$C:$E,MATCH("KYC required rate",Assumptions!$B:$B,0),MATCH(B56,Assumptions!$C$3:$E$3,0))*INDEX(Assumptions!$C:$E,MATCH("KYC cost per checked user",Assumptions!$B:$B,0),MATCH(B56,Assumptions!$C$3:$E$3,0))</f>
      </c>
      <c r="H56">
        <f>D56*INDEX(Assumptions!$C:$E,MATCH("Support cost per active user",Assumptions!$B:$B,0),MATCH(B56,Assumptions!$C$3:$E$3,0))</f>
      </c>
      <c r="I56">
        <f>INDEX(Assumptions!$C:$E,MATCH("Monthly product/dev/ops cost",Assumptions!$B:$B,0),MATCH(B56,Assumptions!$C$3:$E$3,0))</f>
      </c>
      <c r="J56">
        <f>INDEX(Assumptions!$C:$E,MATCH("Monthly legal/compliance reserve",Assumptions!$B:$B,0),MATCH(B56,Assumptions!$C$3:$E$3,0))</f>
      </c>
      <c r="K56">
        <f>INDEX(Assumptions!$C:$E,MATCH("Monthly oracle/data cost",Assumptions!$B:$B,0),MATCH(B56,Assumptions!$C$3:$E$3,0))</f>
      </c>
      <c r="L56">
        <f>INDEX(Assumptions!$C:$E,MATCH("Monthly infrastructure cost",Assumptions!$B:$B,0),MATCH(B56,Assumptions!$C$3:$E$3,0))</f>
      </c>
      <c r="M56">
        <f>INDEX(Assumptions!$C:$E,MATCH("Monthly audit/security reserve",Assumptions!$B:$B,0),MATCH(B56,Assumptions!$C$3:$E$3,0))</f>
      </c>
      <c r="N56">
        <f>INDEX(Assumptions!$C:$E,MATCH("Monthly jackpot top-up reserve",Assumptions!$B:$B,0),MATCH(B56,Assumptions!$C$3:$E$3,0))</f>
      </c>
      <c r="O56">
        <f>SUM(E56)</f>
      </c>
    </row>
    <row r="57">
      <c r="A57">
        <v>20</v>
      </c>
      <c r="B57" t="inlineStr">
        <is>
          <t>Base</t>
        </is>
      </c>
      <c r="C57">
        <f>SUMIFS(Funnel!$H:$H,Funnel!$A:$A,A57,Funnel!$B:$B,B57)</f>
      </c>
      <c r="D57">
        <f>SUMIFS(Funnel!$J:$J,Funnel!$A:$A,A57,Funnel!$B:$B,B57)</f>
      </c>
      <c r="E57">
        <f>C57*INDEX(Assumptions!$C:$E,MATCH("Partner share of first buyers",Assumptions!$B:$B,0),MATCH(B57,Assumptions!$C$3:$E$3,0))*INDEX(Assumptions!$C:$E,MATCH("CPA per qualified player",Assumptions!$B:$B,0),MATCH(B57,Assumptions!$C$3:$E$3,0))*INDEX(Assumptions!$C:$E,MATCH("CPA approved rate",Assumptions!$B:$B,0),MATCH(B57,Assumptions!$C$3:$E$3,0))</f>
      </c>
      <c r="F57">
        <f>INDEX(Assumptions!$C:$E,MATCH("Monthly marketing fixed budget",Assumptions!$B:$B,0),MATCH(B57,Assumptions!$C$3:$E$3,0))</f>
      </c>
      <c r="G57">
        <f>D57*INDEX(Assumptions!$C:$E,MATCH("KYC required rate",Assumptions!$B:$B,0),MATCH(B57,Assumptions!$C$3:$E$3,0))*INDEX(Assumptions!$C:$E,MATCH("KYC cost per checked user",Assumptions!$B:$B,0),MATCH(B57,Assumptions!$C$3:$E$3,0))</f>
      </c>
      <c r="H57">
        <f>D57*INDEX(Assumptions!$C:$E,MATCH("Support cost per active user",Assumptions!$B:$B,0),MATCH(B57,Assumptions!$C$3:$E$3,0))</f>
      </c>
      <c r="I57">
        <f>INDEX(Assumptions!$C:$E,MATCH("Monthly product/dev/ops cost",Assumptions!$B:$B,0),MATCH(B57,Assumptions!$C$3:$E$3,0))</f>
      </c>
      <c r="J57">
        <f>INDEX(Assumptions!$C:$E,MATCH("Monthly legal/compliance reserve",Assumptions!$B:$B,0),MATCH(B57,Assumptions!$C$3:$E$3,0))</f>
      </c>
      <c r="K57">
        <f>INDEX(Assumptions!$C:$E,MATCH("Monthly oracle/data cost",Assumptions!$B:$B,0),MATCH(B57,Assumptions!$C$3:$E$3,0))</f>
      </c>
      <c r="L57">
        <f>INDEX(Assumptions!$C:$E,MATCH("Monthly infrastructure cost",Assumptions!$B:$B,0),MATCH(B57,Assumptions!$C$3:$E$3,0))</f>
      </c>
      <c r="M57">
        <f>INDEX(Assumptions!$C:$E,MATCH("Monthly audit/security reserve",Assumptions!$B:$B,0),MATCH(B57,Assumptions!$C$3:$E$3,0))</f>
      </c>
      <c r="N57">
        <f>INDEX(Assumptions!$C:$E,MATCH("Monthly jackpot top-up reserve",Assumptions!$B:$B,0),MATCH(B57,Assumptions!$C$3:$E$3,0))</f>
      </c>
      <c r="O57">
        <f>SUM(E57)</f>
      </c>
    </row>
    <row r="58">
      <c r="A58">
        <v>21</v>
      </c>
      <c r="B58" t="inlineStr">
        <is>
          <t>Base</t>
        </is>
      </c>
      <c r="C58">
        <f>SUMIFS(Funnel!$H:$H,Funnel!$A:$A,A58,Funnel!$B:$B,B58)</f>
      </c>
      <c r="D58">
        <f>SUMIFS(Funnel!$J:$J,Funnel!$A:$A,A58,Funnel!$B:$B,B58)</f>
      </c>
      <c r="E58">
        <f>C58*INDEX(Assumptions!$C:$E,MATCH("Partner share of first buyers",Assumptions!$B:$B,0),MATCH(B58,Assumptions!$C$3:$E$3,0))*INDEX(Assumptions!$C:$E,MATCH("CPA per qualified player",Assumptions!$B:$B,0),MATCH(B58,Assumptions!$C$3:$E$3,0))*INDEX(Assumptions!$C:$E,MATCH("CPA approved rate",Assumptions!$B:$B,0),MATCH(B58,Assumptions!$C$3:$E$3,0))</f>
      </c>
      <c r="F58">
        <f>INDEX(Assumptions!$C:$E,MATCH("Monthly marketing fixed budget",Assumptions!$B:$B,0),MATCH(B58,Assumptions!$C$3:$E$3,0))</f>
      </c>
      <c r="G58">
        <f>D58*INDEX(Assumptions!$C:$E,MATCH("KYC required rate",Assumptions!$B:$B,0),MATCH(B58,Assumptions!$C$3:$E$3,0))*INDEX(Assumptions!$C:$E,MATCH("KYC cost per checked user",Assumptions!$B:$B,0),MATCH(B58,Assumptions!$C$3:$E$3,0))</f>
      </c>
      <c r="H58">
        <f>D58*INDEX(Assumptions!$C:$E,MATCH("Support cost per active user",Assumptions!$B:$B,0),MATCH(B58,Assumptions!$C$3:$E$3,0))</f>
      </c>
      <c r="I58">
        <f>INDEX(Assumptions!$C:$E,MATCH("Monthly product/dev/ops cost",Assumptions!$B:$B,0),MATCH(B58,Assumptions!$C$3:$E$3,0))</f>
      </c>
      <c r="J58">
        <f>INDEX(Assumptions!$C:$E,MATCH("Monthly legal/compliance reserve",Assumptions!$B:$B,0),MATCH(B58,Assumptions!$C$3:$E$3,0))</f>
      </c>
      <c r="K58">
        <f>INDEX(Assumptions!$C:$E,MATCH("Monthly oracle/data cost",Assumptions!$B:$B,0),MATCH(B58,Assumptions!$C$3:$E$3,0))</f>
      </c>
      <c r="L58">
        <f>INDEX(Assumptions!$C:$E,MATCH("Monthly infrastructure cost",Assumptions!$B:$B,0),MATCH(B58,Assumptions!$C$3:$E$3,0))</f>
      </c>
      <c r="M58">
        <f>INDEX(Assumptions!$C:$E,MATCH("Monthly audit/security reserve",Assumptions!$B:$B,0),MATCH(B58,Assumptions!$C$3:$E$3,0))</f>
      </c>
      <c r="N58">
        <f>INDEX(Assumptions!$C:$E,MATCH("Monthly jackpot top-up reserve",Assumptions!$B:$B,0),MATCH(B58,Assumptions!$C$3:$E$3,0))</f>
      </c>
      <c r="O58">
        <f>SUM(E58)</f>
      </c>
    </row>
    <row r="59">
      <c r="A59">
        <v>22</v>
      </c>
      <c r="B59" t="inlineStr">
        <is>
          <t>Base</t>
        </is>
      </c>
      <c r="C59">
        <f>SUMIFS(Funnel!$H:$H,Funnel!$A:$A,A59,Funnel!$B:$B,B59)</f>
      </c>
      <c r="D59">
        <f>SUMIFS(Funnel!$J:$J,Funnel!$A:$A,A59,Funnel!$B:$B,B59)</f>
      </c>
      <c r="E59">
        <f>C59*INDEX(Assumptions!$C:$E,MATCH("Partner share of first buyers",Assumptions!$B:$B,0),MATCH(B59,Assumptions!$C$3:$E$3,0))*INDEX(Assumptions!$C:$E,MATCH("CPA per qualified player",Assumptions!$B:$B,0),MATCH(B59,Assumptions!$C$3:$E$3,0))*INDEX(Assumptions!$C:$E,MATCH("CPA approved rate",Assumptions!$B:$B,0),MATCH(B59,Assumptions!$C$3:$E$3,0))</f>
      </c>
      <c r="F59">
        <f>INDEX(Assumptions!$C:$E,MATCH("Monthly marketing fixed budget",Assumptions!$B:$B,0),MATCH(B59,Assumptions!$C$3:$E$3,0))</f>
      </c>
      <c r="G59">
        <f>D59*INDEX(Assumptions!$C:$E,MATCH("KYC required rate",Assumptions!$B:$B,0),MATCH(B59,Assumptions!$C$3:$E$3,0))*INDEX(Assumptions!$C:$E,MATCH("KYC cost per checked user",Assumptions!$B:$B,0),MATCH(B59,Assumptions!$C$3:$E$3,0))</f>
      </c>
      <c r="H59">
        <f>D59*INDEX(Assumptions!$C:$E,MATCH("Support cost per active user",Assumptions!$B:$B,0),MATCH(B59,Assumptions!$C$3:$E$3,0))</f>
      </c>
      <c r="I59">
        <f>INDEX(Assumptions!$C:$E,MATCH("Monthly product/dev/ops cost",Assumptions!$B:$B,0),MATCH(B59,Assumptions!$C$3:$E$3,0))</f>
      </c>
      <c r="J59">
        <f>INDEX(Assumptions!$C:$E,MATCH("Monthly legal/compliance reserve",Assumptions!$B:$B,0),MATCH(B59,Assumptions!$C$3:$E$3,0))</f>
      </c>
      <c r="K59">
        <f>INDEX(Assumptions!$C:$E,MATCH("Monthly oracle/data cost",Assumptions!$B:$B,0),MATCH(B59,Assumptions!$C$3:$E$3,0))</f>
      </c>
      <c r="L59">
        <f>INDEX(Assumptions!$C:$E,MATCH("Monthly infrastructure cost",Assumptions!$B:$B,0),MATCH(B59,Assumptions!$C$3:$E$3,0))</f>
      </c>
      <c r="M59">
        <f>INDEX(Assumptions!$C:$E,MATCH("Monthly audit/security reserve",Assumptions!$B:$B,0),MATCH(B59,Assumptions!$C$3:$E$3,0))</f>
      </c>
      <c r="N59">
        <f>INDEX(Assumptions!$C:$E,MATCH("Monthly jackpot top-up reserve",Assumptions!$B:$B,0),MATCH(B59,Assumptions!$C$3:$E$3,0))</f>
      </c>
      <c r="O59">
        <f>SUM(E59)</f>
      </c>
    </row>
    <row r="60">
      <c r="A60">
        <v>23</v>
      </c>
      <c r="B60" t="inlineStr">
        <is>
          <t>Base</t>
        </is>
      </c>
      <c r="C60">
        <f>SUMIFS(Funnel!$H:$H,Funnel!$A:$A,A60,Funnel!$B:$B,B60)</f>
      </c>
      <c r="D60">
        <f>SUMIFS(Funnel!$J:$J,Funnel!$A:$A,A60,Funnel!$B:$B,B60)</f>
      </c>
      <c r="E60">
        <f>C60*INDEX(Assumptions!$C:$E,MATCH("Partner share of first buyers",Assumptions!$B:$B,0),MATCH(B60,Assumptions!$C$3:$E$3,0))*INDEX(Assumptions!$C:$E,MATCH("CPA per qualified player",Assumptions!$B:$B,0),MATCH(B60,Assumptions!$C$3:$E$3,0))*INDEX(Assumptions!$C:$E,MATCH("CPA approved rate",Assumptions!$B:$B,0),MATCH(B60,Assumptions!$C$3:$E$3,0))</f>
      </c>
      <c r="F60">
        <f>INDEX(Assumptions!$C:$E,MATCH("Monthly marketing fixed budget",Assumptions!$B:$B,0),MATCH(B60,Assumptions!$C$3:$E$3,0))</f>
      </c>
      <c r="G60">
        <f>D60*INDEX(Assumptions!$C:$E,MATCH("KYC required rate",Assumptions!$B:$B,0),MATCH(B60,Assumptions!$C$3:$E$3,0))*INDEX(Assumptions!$C:$E,MATCH("KYC cost per checked user",Assumptions!$B:$B,0),MATCH(B60,Assumptions!$C$3:$E$3,0))</f>
      </c>
      <c r="H60">
        <f>D60*INDEX(Assumptions!$C:$E,MATCH("Support cost per active user",Assumptions!$B:$B,0),MATCH(B60,Assumptions!$C$3:$E$3,0))</f>
      </c>
      <c r="I60">
        <f>INDEX(Assumptions!$C:$E,MATCH("Monthly product/dev/ops cost",Assumptions!$B:$B,0),MATCH(B60,Assumptions!$C$3:$E$3,0))</f>
      </c>
      <c r="J60">
        <f>INDEX(Assumptions!$C:$E,MATCH("Monthly legal/compliance reserve",Assumptions!$B:$B,0),MATCH(B60,Assumptions!$C$3:$E$3,0))</f>
      </c>
      <c r="K60">
        <f>INDEX(Assumptions!$C:$E,MATCH("Monthly oracle/data cost",Assumptions!$B:$B,0),MATCH(B60,Assumptions!$C$3:$E$3,0))</f>
      </c>
      <c r="L60">
        <f>INDEX(Assumptions!$C:$E,MATCH("Monthly infrastructure cost",Assumptions!$B:$B,0),MATCH(B60,Assumptions!$C$3:$E$3,0))</f>
      </c>
      <c r="M60">
        <f>INDEX(Assumptions!$C:$E,MATCH("Monthly audit/security reserve",Assumptions!$B:$B,0),MATCH(B60,Assumptions!$C$3:$E$3,0))</f>
      </c>
      <c r="N60">
        <f>INDEX(Assumptions!$C:$E,MATCH("Monthly jackpot top-up reserve",Assumptions!$B:$B,0),MATCH(B60,Assumptions!$C$3:$E$3,0))</f>
      </c>
      <c r="O60">
        <f>SUM(E60)</f>
      </c>
    </row>
    <row r="61">
      <c r="A61">
        <v>24</v>
      </c>
      <c r="B61" t="inlineStr">
        <is>
          <t>Base</t>
        </is>
      </c>
      <c r="C61">
        <f>SUMIFS(Funnel!$H:$H,Funnel!$A:$A,A61,Funnel!$B:$B,B61)</f>
      </c>
      <c r="D61">
        <f>SUMIFS(Funnel!$J:$J,Funnel!$A:$A,A61,Funnel!$B:$B,B61)</f>
      </c>
      <c r="E61">
        <f>C61*INDEX(Assumptions!$C:$E,MATCH("Partner share of first buyers",Assumptions!$B:$B,0),MATCH(B61,Assumptions!$C$3:$E$3,0))*INDEX(Assumptions!$C:$E,MATCH("CPA per qualified player",Assumptions!$B:$B,0),MATCH(B61,Assumptions!$C$3:$E$3,0))*INDEX(Assumptions!$C:$E,MATCH("CPA approved rate",Assumptions!$B:$B,0),MATCH(B61,Assumptions!$C$3:$E$3,0))</f>
      </c>
      <c r="F61">
        <f>INDEX(Assumptions!$C:$E,MATCH("Monthly marketing fixed budget",Assumptions!$B:$B,0),MATCH(B61,Assumptions!$C$3:$E$3,0))</f>
      </c>
      <c r="G61">
        <f>D61*INDEX(Assumptions!$C:$E,MATCH("KYC required rate",Assumptions!$B:$B,0),MATCH(B61,Assumptions!$C$3:$E$3,0))*INDEX(Assumptions!$C:$E,MATCH("KYC cost per checked user",Assumptions!$B:$B,0),MATCH(B61,Assumptions!$C$3:$E$3,0))</f>
      </c>
      <c r="H61">
        <f>D61*INDEX(Assumptions!$C:$E,MATCH("Support cost per active user",Assumptions!$B:$B,0),MATCH(B61,Assumptions!$C$3:$E$3,0))</f>
      </c>
      <c r="I61">
        <f>INDEX(Assumptions!$C:$E,MATCH("Monthly product/dev/ops cost",Assumptions!$B:$B,0),MATCH(B61,Assumptions!$C$3:$E$3,0))</f>
      </c>
      <c r="J61">
        <f>INDEX(Assumptions!$C:$E,MATCH("Monthly legal/compliance reserve",Assumptions!$B:$B,0),MATCH(B61,Assumptions!$C$3:$E$3,0))</f>
      </c>
      <c r="K61">
        <f>INDEX(Assumptions!$C:$E,MATCH("Monthly oracle/data cost",Assumptions!$B:$B,0),MATCH(B61,Assumptions!$C$3:$E$3,0))</f>
      </c>
      <c r="L61">
        <f>INDEX(Assumptions!$C:$E,MATCH("Monthly infrastructure cost",Assumptions!$B:$B,0),MATCH(B61,Assumptions!$C$3:$E$3,0))</f>
      </c>
      <c r="M61">
        <f>INDEX(Assumptions!$C:$E,MATCH("Monthly audit/security reserve",Assumptions!$B:$B,0),MATCH(B61,Assumptions!$C$3:$E$3,0))</f>
      </c>
      <c r="N61">
        <f>INDEX(Assumptions!$C:$E,MATCH("Monthly jackpot top-up reserve",Assumptions!$B:$B,0),MATCH(B61,Assumptions!$C$3:$E$3,0))</f>
      </c>
      <c r="O61">
        <f>SUM(E61)</f>
      </c>
    </row>
    <row r="62">
      <c r="A62">
        <v>25</v>
      </c>
      <c r="B62" t="inlineStr">
        <is>
          <t>Base</t>
        </is>
      </c>
      <c r="C62">
        <f>SUMIFS(Funnel!$H:$H,Funnel!$A:$A,A62,Funnel!$B:$B,B62)</f>
      </c>
      <c r="D62">
        <f>SUMIFS(Funnel!$J:$J,Funnel!$A:$A,A62,Funnel!$B:$B,B62)</f>
      </c>
      <c r="E62">
        <f>C62*INDEX(Assumptions!$C:$E,MATCH("Partner share of first buyers",Assumptions!$B:$B,0),MATCH(B62,Assumptions!$C$3:$E$3,0))*INDEX(Assumptions!$C:$E,MATCH("CPA per qualified player",Assumptions!$B:$B,0),MATCH(B62,Assumptions!$C$3:$E$3,0))*INDEX(Assumptions!$C:$E,MATCH("CPA approved rate",Assumptions!$B:$B,0),MATCH(B62,Assumptions!$C$3:$E$3,0))</f>
      </c>
      <c r="F62">
        <f>INDEX(Assumptions!$C:$E,MATCH("Monthly marketing fixed budget",Assumptions!$B:$B,0),MATCH(B62,Assumptions!$C$3:$E$3,0))</f>
      </c>
      <c r="G62">
        <f>D62*INDEX(Assumptions!$C:$E,MATCH("KYC required rate",Assumptions!$B:$B,0),MATCH(B62,Assumptions!$C$3:$E$3,0))*INDEX(Assumptions!$C:$E,MATCH("KYC cost per checked user",Assumptions!$B:$B,0),MATCH(B62,Assumptions!$C$3:$E$3,0))</f>
      </c>
      <c r="H62">
        <f>D62*INDEX(Assumptions!$C:$E,MATCH("Support cost per active user",Assumptions!$B:$B,0),MATCH(B62,Assumptions!$C$3:$E$3,0))</f>
      </c>
      <c r="I62">
        <f>INDEX(Assumptions!$C:$E,MATCH("Monthly product/dev/ops cost",Assumptions!$B:$B,0),MATCH(B62,Assumptions!$C$3:$E$3,0))</f>
      </c>
      <c r="J62">
        <f>INDEX(Assumptions!$C:$E,MATCH("Monthly legal/compliance reserve",Assumptions!$B:$B,0),MATCH(B62,Assumptions!$C$3:$E$3,0))</f>
      </c>
      <c r="K62">
        <f>INDEX(Assumptions!$C:$E,MATCH("Monthly oracle/data cost",Assumptions!$B:$B,0),MATCH(B62,Assumptions!$C$3:$E$3,0))</f>
      </c>
      <c r="L62">
        <f>INDEX(Assumptions!$C:$E,MATCH("Monthly infrastructure cost",Assumptions!$B:$B,0),MATCH(B62,Assumptions!$C$3:$E$3,0))</f>
      </c>
      <c r="M62">
        <f>INDEX(Assumptions!$C:$E,MATCH("Monthly audit/security reserve",Assumptions!$B:$B,0),MATCH(B62,Assumptions!$C$3:$E$3,0))</f>
      </c>
      <c r="N62">
        <f>INDEX(Assumptions!$C:$E,MATCH("Monthly jackpot top-up reserve",Assumptions!$B:$B,0),MATCH(B62,Assumptions!$C$3:$E$3,0))</f>
      </c>
      <c r="O62">
        <f>SUM(E62)</f>
      </c>
    </row>
    <row r="63">
      <c r="A63">
        <v>26</v>
      </c>
      <c r="B63" t="inlineStr">
        <is>
          <t>Base</t>
        </is>
      </c>
      <c r="C63">
        <f>SUMIFS(Funnel!$H:$H,Funnel!$A:$A,A63,Funnel!$B:$B,B63)</f>
      </c>
      <c r="D63">
        <f>SUMIFS(Funnel!$J:$J,Funnel!$A:$A,A63,Funnel!$B:$B,B63)</f>
      </c>
      <c r="E63">
        <f>C63*INDEX(Assumptions!$C:$E,MATCH("Partner share of first buyers",Assumptions!$B:$B,0),MATCH(B63,Assumptions!$C$3:$E$3,0))*INDEX(Assumptions!$C:$E,MATCH("CPA per qualified player",Assumptions!$B:$B,0),MATCH(B63,Assumptions!$C$3:$E$3,0))*INDEX(Assumptions!$C:$E,MATCH("CPA approved rate",Assumptions!$B:$B,0),MATCH(B63,Assumptions!$C$3:$E$3,0))</f>
      </c>
      <c r="F63">
        <f>INDEX(Assumptions!$C:$E,MATCH("Monthly marketing fixed budget",Assumptions!$B:$B,0),MATCH(B63,Assumptions!$C$3:$E$3,0))</f>
      </c>
      <c r="G63">
        <f>D63*INDEX(Assumptions!$C:$E,MATCH("KYC required rate",Assumptions!$B:$B,0),MATCH(B63,Assumptions!$C$3:$E$3,0))*INDEX(Assumptions!$C:$E,MATCH("KYC cost per checked user",Assumptions!$B:$B,0),MATCH(B63,Assumptions!$C$3:$E$3,0))</f>
      </c>
      <c r="H63">
        <f>D63*INDEX(Assumptions!$C:$E,MATCH("Support cost per active user",Assumptions!$B:$B,0),MATCH(B63,Assumptions!$C$3:$E$3,0))</f>
      </c>
      <c r="I63">
        <f>INDEX(Assumptions!$C:$E,MATCH("Monthly product/dev/ops cost",Assumptions!$B:$B,0),MATCH(B63,Assumptions!$C$3:$E$3,0))</f>
      </c>
      <c r="J63">
        <f>INDEX(Assumptions!$C:$E,MATCH("Monthly legal/compliance reserve",Assumptions!$B:$B,0),MATCH(B63,Assumptions!$C$3:$E$3,0))</f>
      </c>
      <c r="K63">
        <f>INDEX(Assumptions!$C:$E,MATCH("Monthly oracle/data cost",Assumptions!$B:$B,0),MATCH(B63,Assumptions!$C$3:$E$3,0))</f>
      </c>
      <c r="L63">
        <f>INDEX(Assumptions!$C:$E,MATCH("Monthly infrastructure cost",Assumptions!$B:$B,0),MATCH(B63,Assumptions!$C$3:$E$3,0))</f>
      </c>
      <c r="M63">
        <f>INDEX(Assumptions!$C:$E,MATCH("Monthly audit/security reserve",Assumptions!$B:$B,0),MATCH(B63,Assumptions!$C$3:$E$3,0))</f>
      </c>
      <c r="N63">
        <f>INDEX(Assumptions!$C:$E,MATCH("Monthly jackpot top-up reserve",Assumptions!$B:$B,0),MATCH(B63,Assumptions!$C$3:$E$3,0))</f>
      </c>
      <c r="O63">
        <f>SUM(E63)</f>
      </c>
    </row>
    <row r="64">
      <c r="A64">
        <v>27</v>
      </c>
      <c r="B64" t="inlineStr">
        <is>
          <t>Base</t>
        </is>
      </c>
      <c r="C64">
        <f>SUMIFS(Funnel!$H:$H,Funnel!$A:$A,A64,Funnel!$B:$B,B64)</f>
      </c>
      <c r="D64">
        <f>SUMIFS(Funnel!$J:$J,Funnel!$A:$A,A64,Funnel!$B:$B,B64)</f>
      </c>
      <c r="E64">
        <f>C64*INDEX(Assumptions!$C:$E,MATCH("Partner share of first buyers",Assumptions!$B:$B,0),MATCH(B64,Assumptions!$C$3:$E$3,0))*INDEX(Assumptions!$C:$E,MATCH("CPA per qualified player",Assumptions!$B:$B,0),MATCH(B64,Assumptions!$C$3:$E$3,0))*INDEX(Assumptions!$C:$E,MATCH("CPA approved rate",Assumptions!$B:$B,0),MATCH(B64,Assumptions!$C$3:$E$3,0))</f>
      </c>
      <c r="F64">
        <f>INDEX(Assumptions!$C:$E,MATCH("Monthly marketing fixed budget",Assumptions!$B:$B,0),MATCH(B64,Assumptions!$C$3:$E$3,0))</f>
      </c>
      <c r="G64">
        <f>D64*INDEX(Assumptions!$C:$E,MATCH("KYC required rate",Assumptions!$B:$B,0),MATCH(B64,Assumptions!$C$3:$E$3,0))*INDEX(Assumptions!$C:$E,MATCH("KYC cost per checked user",Assumptions!$B:$B,0),MATCH(B64,Assumptions!$C$3:$E$3,0))</f>
      </c>
      <c r="H64">
        <f>D64*INDEX(Assumptions!$C:$E,MATCH("Support cost per active user",Assumptions!$B:$B,0),MATCH(B64,Assumptions!$C$3:$E$3,0))</f>
      </c>
      <c r="I64">
        <f>INDEX(Assumptions!$C:$E,MATCH("Monthly product/dev/ops cost",Assumptions!$B:$B,0),MATCH(B64,Assumptions!$C$3:$E$3,0))</f>
      </c>
      <c r="J64">
        <f>INDEX(Assumptions!$C:$E,MATCH("Monthly legal/compliance reserve",Assumptions!$B:$B,0),MATCH(B64,Assumptions!$C$3:$E$3,0))</f>
      </c>
      <c r="K64">
        <f>INDEX(Assumptions!$C:$E,MATCH("Monthly oracle/data cost",Assumptions!$B:$B,0),MATCH(B64,Assumptions!$C$3:$E$3,0))</f>
      </c>
      <c r="L64">
        <f>INDEX(Assumptions!$C:$E,MATCH("Monthly infrastructure cost",Assumptions!$B:$B,0),MATCH(B64,Assumptions!$C$3:$E$3,0))</f>
      </c>
      <c r="M64">
        <f>INDEX(Assumptions!$C:$E,MATCH("Monthly audit/security reserve",Assumptions!$B:$B,0),MATCH(B64,Assumptions!$C$3:$E$3,0))</f>
      </c>
      <c r="N64">
        <f>INDEX(Assumptions!$C:$E,MATCH("Monthly jackpot top-up reserve",Assumptions!$B:$B,0),MATCH(B64,Assumptions!$C$3:$E$3,0))</f>
      </c>
      <c r="O64">
        <f>SUM(E64)</f>
      </c>
    </row>
    <row r="65">
      <c r="A65">
        <v>28</v>
      </c>
      <c r="B65" t="inlineStr">
        <is>
          <t>Base</t>
        </is>
      </c>
      <c r="C65">
        <f>SUMIFS(Funnel!$H:$H,Funnel!$A:$A,A65,Funnel!$B:$B,B65)</f>
      </c>
      <c r="D65">
        <f>SUMIFS(Funnel!$J:$J,Funnel!$A:$A,A65,Funnel!$B:$B,B65)</f>
      </c>
      <c r="E65">
        <f>C65*INDEX(Assumptions!$C:$E,MATCH("Partner share of first buyers",Assumptions!$B:$B,0),MATCH(B65,Assumptions!$C$3:$E$3,0))*INDEX(Assumptions!$C:$E,MATCH("CPA per qualified player",Assumptions!$B:$B,0),MATCH(B65,Assumptions!$C$3:$E$3,0))*INDEX(Assumptions!$C:$E,MATCH("CPA approved rate",Assumptions!$B:$B,0),MATCH(B65,Assumptions!$C$3:$E$3,0))</f>
      </c>
      <c r="F65">
        <f>INDEX(Assumptions!$C:$E,MATCH("Monthly marketing fixed budget",Assumptions!$B:$B,0),MATCH(B65,Assumptions!$C$3:$E$3,0))</f>
      </c>
      <c r="G65">
        <f>D65*INDEX(Assumptions!$C:$E,MATCH("KYC required rate",Assumptions!$B:$B,0),MATCH(B65,Assumptions!$C$3:$E$3,0))*INDEX(Assumptions!$C:$E,MATCH("KYC cost per checked user",Assumptions!$B:$B,0),MATCH(B65,Assumptions!$C$3:$E$3,0))</f>
      </c>
      <c r="H65">
        <f>D65*INDEX(Assumptions!$C:$E,MATCH("Support cost per active user",Assumptions!$B:$B,0),MATCH(B65,Assumptions!$C$3:$E$3,0))</f>
      </c>
      <c r="I65">
        <f>INDEX(Assumptions!$C:$E,MATCH("Monthly product/dev/ops cost",Assumptions!$B:$B,0),MATCH(B65,Assumptions!$C$3:$E$3,0))</f>
      </c>
      <c r="J65">
        <f>INDEX(Assumptions!$C:$E,MATCH("Monthly legal/compliance reserve",Assumptions!$B:$B,0),MATCH(B65,Assumptions!$C$3:$E$3,0))</f>
      </c>
      <c r="K65">
        <f>INDEX(Assumptions!$C:$E,MATCH("Monthly oracle/data cost",Assumptions!$B:$B,0),MATCH(B65,Assumptions!$C$3:$E$3,0))</f>
      </c>
      <c r="L65">
        <f>INDEX(Assumptions!$C:$E,MATCH("Monthly infrastructure cost",Assumptions!$B:$B,0),MATCH(B65,Assumptions!$C$3:$E$3,0))</f>
      </c>
      <c r="M65">
        <f>INDEX(Assumptions!$C:$E,MATCH("Monthly audit/security reserve",Assumptions!$B:$B,0),MATCH(B65,Assumptions!$C$3:$E$3,0))</f>
      </c>
      <c r="N65">
        <f>INDEX(Assumptions!$C:$E,MATCH("Monthly jackpot top-up reserve",Assumptions!$B:$B,0),MATCH(B65,Assumptions!$C$3:$E$3,0))</f>
      </c>
      <c r="O65">
        <f>SUM(E65)</f>
      </c>
    </row>
    <row r="66">
      <c r="A66">
        <v>29</v>
      </c>
      <c r="B66" t="inlineStr">
        <is>
          <t>Base</t>
        </is>
      </c>
      <c r="C66">
        <f>SUMIFS(Funnel!$H:$H,Funnel!$A:$A,A66,Funnel!$B:$B,B66)</f>
      </c>
      <c r="D66">
        <f>SUMIFS(Funnel!$J:$J,Funnel!$A:$A,A66,Funnel!$B:$B,B66)</f>
      </c>
      <c r="E66">
        <f>C66*INDEX(Assumptions!$C:$E,MATCH("Partner share of first buyers",Assumptions!$B:$B,0),MATCH(B66,Assumptions!$C$3:$E$3,0))*INDEX(Assumptions!$C:$E,MATCH("CPA per qualified player",Assumptions!$B:$B,0),MATCH(B66,Assumptions!$C$3:$E$3,0))*INDEX(Assumptions!$C:$E,MATCH("CPA approved rate",Assumptions!$B:$B,0),MATCH(B66,Assumptions!$C$3:$E$3,0))</f>
      </c>
      <c r="F66">
        <f>INDEX(Assumptions!$C:$E,MATCH("Monthly marketing fixed budget",Assumptions!$B:$B,0),MATCH(B66,Assumptions!$C$3:$E$3,0))</f>
      </c>
      <c r="G66">
        <f>D66*INDEX(Assumptions!$C:$E,MATCH("KYC required rate",Assumptions!$B:$B,0),MATCH(B66,Assumptions!$C$3:$E$3,0))*INDEX(Assumptions!$C:$E,MATCH("KYC cost per checked user",Assumptions!$B:$B,0),MATCH(B66,Assumptions!$C$3:$E$3,0))</f>
      </c>
      <c r="H66">
        <f>D66*INDEX(Assumptions!$C:$E,MATCH("Support cost per active user",Assumptions!$B:$B,0),MATCH(B66,Assumptions!$C$3:$E$3,0))</f>
      </c>
      <c r="I66">
        <f>INDEX(Assumptions!$C:$E,MATCH("Monthly product/dev/ops cost",Assumptions!$B:$B,0),MATCH(B66,Assumptions!$C$3:$E$3,0))</f>
      </c>
      <c r="J66">
        <f>INDEX(Assumptions!$C:$E,MATCH("Monthly legal/compliance reserve",Assumptions!$B:$B,0),MATCH(B66,Assumptions!$C$3:$E$3,0))</f>
      </c>
      <c r="K66">
        <f>INDEX(Assumptions!$C:$E,MATCH("Monthly oracle/data cost",Assumptions!$B:$B,0),MATCH(B66,Assumptions!$C$3:$E$3,0))</f>
      </c>
      <c r="L66">
        <f>INDEX(Assumptions!$C:$E,MATCH("Monthly infrastructure cost",Assumptions!$B:$B,0),MATCH(B66,Assumptions!$C$3:$E$3,0))</f>
      </c>
      <c r="M66">
        <f>INDEX(Assumptions!$C:$E,MATCH("Monthly audit/security reserve",Assumptions!$B:$B,0),MATCH(B66,Assumptions!$C$3:$E$3,0))</f>
      </c>
      <c r="N66">
        <f>INDEX(Assumptions!$C:$E,MATCH("Monthly jackpot top-up reserve",Assumptions!$B:$B,0),MATCH(B66,Assumptions!$C$3:$E$3,0))</f>
      </c>
      <c r="O66">
        <f>SUM(E66)</f>
      </c>
    </row>
    <row r="67">
      <c r="A67">
        <v>30</v>
      </c>
      <c r="B67" t="inlineStr">
        <is>
          <t>Base</t>
        </is>
      </c>
      <c r="C67">
        <f>SUMIFS(Funnel!$H:$H,Funnel!$A:$A,A67,Funnel!$B:$B,B67)</f>
      </c>
      <c r="D67">
        <f>SUMIFS(Funnel!$J:$J,Funnel!$A:$A,A67,Funnel!$B:$B,B67)</f>
      </c>
      <c r="E67">
        <f>C67*INDEX(Assumptions!$C:$E,MATCH("Partner share of first buyers",Assumptions!$B:$B,0),MATCH(B67,Assumptions!$C$3:$E$3,0))*INDEX(Assumptions!$C:$E,MATCH("CPA per qualified player",Assumptions!$B:$B,0),MATCH(B67,Assumptions!$C$3:$E$3,0))*INDEX(Assumptions!$C:$E,MATCH("CPA approved rate",Assumptions!$B:$B,0),MATCH(B67,Assumptions!$C$3:$E$3,0))</f>
      </c>
      <c r="F67">
        <f>INDEX(Assumptions!$C:$E,MATCH("Monthly marketing fixed budget",Assumptions!$B:$B,0),MATCH(B67,Assumptions!$C$3:$E$3,0))</f>
      </c>
      <c r="G67">
        <f>D67*INDEX(Assumptions!$C:$E,MATCH("KYC required rate",Assumptions!$B:$B,0),MATCH(B67,Assumptions!$C$3:$E$3,0))*INDEX(Assumptions!$C:$E,MATCH("KYC cost per checked user",Assumptions!$B:$B,0),MATCH(B67,Assumptions!$C$3:$E$3,0))</f>
      </c>
      <c r="H67">
        <f>D67*INDEX(Assumptions!$C:$E,MATCH("Support cost per active user",Assumptions!$B:$B,0),MATCH(B67,Assumptions!$C$3:$E$3,0))</f>
      </c>
      <c r="I67">
        <f>INDEX(Assumptions!$C:$E,MATCH("Monthly product/dev/ops cost",Assumptions!$B:$B,0),MATCH(B67,Assumptions!$C$3:$E$3,0))</f>
      </c>
      <c r="J67">
        <f>INDEX(Assumptions!$C:$E,MATCH("Monthly legal/compliance reserve",Assumptions!$B:$B,0),MATCH(B67,Assumptions!$C$3:$E$3,0))</f>
      </c>
      <c r="K67">
        <f>INDEX(Assumptions!$C:$E,MATCH("Monthly oracle/data cost",Assumptions!$B:$B,0),MATCH(B67,Assumptions!$C$3:$E$3,0))</f>
      </c>
      <c r="L67">
        <f>INDEX(Assumptions!$C:$E,MATCH("Monthly infrastructure cost",Assumptions!$B:$B,0),MATCH(B67,Assumptions!$C$3:$E$3,0))</f>
      </c>
      <c r="M67">
        <f>INDEX(Assumptions!$C:$E,MATCH("Monthly audit/security reserve",Assumptions!$B:$B,0),MATCH(B67,Assumptions!$C$3:$E$3,0))</f>
      </c>
      <c r="N67">
        <f>INDEX(Assumptions!$C:$E,MATCH("Monthly jackpot top-up reserve",Assumptions!$B:$B,0),MATCH(B67,Assumptions!$C$3:$E$3,0))</f>
      </c>
      <c r="O67">
        <f>SUM(E67)</f>
      </c>
    </row>
    <row r="68">
      <c r="A68">
        <v>31</v>
      </c>
      <c r="B68" t="inlineStr">
        <is>
          <t>Base</t>
        </is>
      </c>
      <c r="C68">
        <f>SUMIFS(Funnel!$H:$H,Funnel!$A:$A,A68,Funnel!$B:$B,B68)</f>
      </c>
      <c r="D68">
        <f>SUMIFS(Funnel!$J:$J,Funnel!$A:$A,A68,Funnel!$B:$B,B68)</f>
      </c>
      <c r="E68">
        <f>C68*INDEX(Assumptions!$C:$E,MATCH("Partner share of first buyers",Assumptions!$B:$B,0),MATCH(B68,Assumptions!$C$3:$E$3,0))*INDEX(Assumptions!$C:$E,MATCH("CPA per qualified player",Assumptions!$B:$B,0),MATCH(B68,Assumptions!$C$3:$E$3,0))*INDEX(Assumptions!$C:$E,MATCH("CPA approved rate",Assumptions!$B:$B,0),MATCH(B68,Assumptions!$C$3:$E$3,0))</f>
      </c>
      <c r="F68">
        <f>INDEX(Assumptions!$C:$E,MATCH("Monthly marketing fixed budget",Assumptions!$B:$B,0),MATCH(B68,Assumptions!$C$3:$E$3,0))</f>
      </c>
      <c r="G68">
        <f>D68*INDEX(Assumptions!$C:$E,MATCH("KYC required rate",Assumptions!$B:$B,0),MATCH(B68,Assumptions!$C$3:$E$3,0))*INDEX(Assumptions!$C:$E,MATCH("KYC cost per checked user",Assumptions!$B:$B,0),MATCH(B68,Assumptions!$C$3:$E$3,0))</f>
      </c>
      <c r="H68">
        <f>D68*INDEX(Assumptions!$C:$E,MATCH("Support cost per active user",Assumptions!$B:$B,0),MATCH(B68,Assumptions!$C$3:$E$3,0))</f>
      </c>
      <c r="I68">
        <f>INDEX(Assumptions!$C:$E,MATCH("Monthly product/dev/ops cost",Assumptions!$B:$B,0),MATCH(B68,Assumptions!$C$3:$E$3,0))</f>
      </c>
      <c r="J68">
        <f>INDEX(Assumptions!$C:$E,MATCH("Monthly legal/compliance reserve",Assumptions!$B:$B,0),MATCH(B68,Assumptions!$C$3:$E$3,0))</f>
      </c>
      <c r="K68">
        <f>INDEX(Assumptions!$C:$E,MATCH("Monthly oracle/data cost",Assumptions!$B:$B,0),MATCH(B68,Assumptions!$C$3:$E$3,0))</f>
      </c>
      <c r="L68">
        <f>INDEX(Assumptions!$C:$E,MATCH("Monthly infrastructure cost",Assumptions!$B:$B,0),MATCH(B68,Assumptions!$C$3:$E$3,0))</f>
      </c>
      <c r="M68">
        <f>INDEX(Assumptions!$C:$E,MATCH("Monthly audit/security reserve",Assumptions!$B:$B,0),MATCH(B68,Assumptions!$C$3:$E$3,0))</f>
      </c>
      <c r="N68">
        <f>INDEX(Assumptions!$C:$E,MATCH("Monthly jackpot top-up reserve",Assumptions!$B:$B,0),MATCH(B68,Assumptions!$C$3:$E$3,0))</f>
      </c>
      <c r="O68">
        <f>SUM(E68)</f>
      </c>
    </row>
    <row r="69">
      <c r="A69">
        <v>32</v>
      </c>
      <c r="B69" t="inlineStr">
        <is>
          <t>Base</t>
        </is>
      </c>
      <c r="C69">
        <f>SUMIFS(Funnel!$H:$H,Funnel!$A:$A,A69,Funnel!$B:$B,B69)</f>
      </c>
      <c r="D69">
        <f>SUMIFS(Funnel!$J:$J,Funnel!$A:$A,A69,Funnel!$B:$B,B69)</f>
      </c>
      <c r="E69">
        <f>C69*INDEX(Assumptions!$C:$E,MATCH("Partner share of first buyers",Assumptions!$B:$B,0),MATCH(B69,Assumptions!$C$3:$E$3,0))*INDEX(Assumptions!$C:$E,MATCH("CPA per qualified player",Assumptions!$B:$B,0),MATCH(B69,Assumptions!$C$3:$E$3,0))*INDEX(Assumptions!$C:$E,MATCH("CPA approved rate",Assumptions!$B:$B,0),MATCH(B69,Assumptions!$C$3:$E$3,0))</f>
      </c>
      <c r="F69">
        <f>INDEX(Assumptions!$C:$E,MATCH("Monthly marketing fixed budget",Assumptions!$B:$B,0),MATCH(B69,Assumptions!$C$3:$E$3,0))</f>
      </c>
      <c r="G69">
        <f>D69*INDEX(Assumptions!$C:$E,MATCH("KYC required rate",Assumptions!$B:$B,0),MATCH(B69,Assumptions!$C$3:$E$3,0))*INDEX(Assumptions!$C:$E,MATCH("KYC cost per checked user",Assumptions!$B:$B,0),MATCH(B69,Assumptions!$C$3:$E$3,0))</f>
      </c>
      <c r="H69">
        <f>D69*INDEX(Assumptions!$C:$E,MATCH("Support cost per active user",Assumptions!$B:$B,0),MATCH(B69,Assumptions!$C$3:$E$3,0))</f>
      </c>
      <c r="I69">
        <f>INDEX(Assumptions!$C:$E,MATCH("Monthly product/dev/ops cost",Assumptions!$B:$B,0),MATCH(B69,Assumptions!$C$3:$E$3,0))</f>
      </c>
      <c r="J69">
        <f>INDEX(Assumptions!$C:$E,MATCH("Monthly legal/compliance reserve",Assumptions!$B:$B,0),MATCH(B69,Assumptions!$C$3:$E$3,0))</f>
      </c>
      <c r="K69">
        <f>INDEX(Assumptions!$C:$E,MATCH("Monthly oracle/data cost",Assumptions!$B:$B,0),MATCH(B69,Assumptions!$C$3:$E$3,0))</f>
      </c>
      <c r="L69">
        <f>INDEX(Assumptions!$C:$E,MATCH("Monthly infrastructure cost",Assumptions!$B:$B,0),MATCH(B69,Assumptions!$C$3:$E$3,0))</f>
      </c>
      <c r="M69">
        <f>INDEX(Assumptions!$C:$E,MATCH("Monthly audit/security reserve",Assumptions!$B:$B,0),MATCH(B69,Assumptions!$C$3:$E$3,0))</f>
      </c>
      <c r="N69">
        <f>INDEX(Assumptions!$C:$E,MATCH("Monthly jackpot top-up reserve",Assumptions!$B:$B,0),MATCH(B69,Assumptions!$C$3:$E$3,0))</f>
      </c>
      <c r="O69">
        <f>SUM(E69)</f>
      </c>
    </row>
    <row r="70">
      <c r="A70">
        <v>33</v>
      </c>
      <c r="B70" t="inlineStr">
        <is>
          <t>Base</t>
        </is>
      </c>
      <c r="C70">
        <f>SUMIFS(Funnel!$H:$H,Funnel!$A:$A,A70,Funnel!$B:$B,B70)</f>
      </c>
      <c r="D70">
        <f>SUMIFS(Funnel!$J:$J,Funnel!$A:$A,A70,Funnel!$B:$B,B70)</f>
      </c>
      <c r="E70">
        <f>C70*INDEX(Assumptions!$C:$E,MATCH("Partner share of first buyers",Assumptions!$B:$B,0),MATCH(B70,Assumptions!$C$3:$E$3,0))*INDEX(Assumptions!$C:$E,MATCH("CPA per qualified player",Assumptions!$B:$B,0),MATCH(B70,Assumptions!$C$3:$E$3,0))*INDEX(Assumptions!$C:$E,MATCH("CPA approved rate",Assumptions!$B:$B,0),MATCH(B70,Assumptions!$C$3:$E$3,0))</f>
      </c>
      <c r="F70">
        <f>INDEX(Assumptions!$C:$E,MATCH("Monthly marketing fixed budget",Assumptions!$B:$B,0),MATCH(B70,Assumptions!$C$3:$E$3,0))</f>
      </c>
      <c r="G70">
        <f>D70*INDEX(Assumptions!$C:$E,MATCH("KYC required rate",Assumptions!$B:$B,0),MATCH(B70,Assumptions!$C$3:$E$3,0))*INDEX(Assumptions!$C:$E,MATCH("KYC cost per checked user",Assumptions!$B:$B,0),MATCH(B70,Assumptions!$C$3:$E$3,0))</f>
      </c>
      <c r="H70">
        <f>D70*INDEX(Assumptions!$C:$E,MATCH("Support cost per active user",Assumptions!$B:$B,0),MATCH(B70,Assumptions!$C$3:$E$3,0))</f>
      </c>
      <c r="I70">
        <f>INDEX(Assumptions!$C:$E,MATCH("Monthly product/dev/ops cost",Assumptions!$B:$B,0),MATCH(B70,Assumptions!$C$3:$E$3,0))</f>
      </c>
      <c r="J70">
        <f>INDEX(Assumptions!$C:$E,MATCH("Monthly legal/compliance reserve",Assumptions!$B:$B,0),MATCH(B70,Assumptions!$C$3:$E$3,0))</f>
      </c>
      <c r="K70">
        <f>INDEX(Assumptions!$C:$E,MATCH("Monthly oracle/data cost",Assumptions!$B:$B,0),MATCH(B70,Assumptions!$C$3:$E$3,0))</f>
      </c>
      <c r="L70">
        <f>INDEX(Assumptions!$C:$E,MATCH("Monthly infrastructure cost",Assumptions!$B:$B,0),MATCH(B70,Assumptions!$C$3:$E$3,0))</f>
      </c>
      <c r="M70">
        <f>INDEX(Assumptions!$C:$E,MATCH("Monthly audit/security reserve",Assumptions!$B:$B,0),MATCH(B70,Assumptions!$C$3:$E$3,0))</f>
      </c>
      <c r="N70">
        <f>INDEX(Assumptions!$C:$E,MATCH("Monthly jackpot top-up reserve",Assumptions!$B:$B,0),MATCH(B70,Assumptions!$C$3:$E$3,0))</f>
      </c>
      <c r="O70">
        <f>SUM(E70)</f>
      </c>
    </row>
    <row r="71">
      <c r="A71">
        <v>34</v>
      </c>
      <c r="B71" t="inlineStr">
        <is>
          <t>Base</t>
        </is>
      </c>
      <c r="C71">
        <f>SUMIFS(Funnel!$H:$H,Funnel!$A:$A,A71,Funnel!$B:$B,B71)</f>
      </c>
      <c r="D71">
        <f>SUMIFS(Funnel!$J:$J,Funnel!$A:$A,A71,Funnel!$B:$B,B71)</f>
      </c>
      <c r="E71">
        <f>C71*INDEX(Assumptions!$C:$E,MATCH("Partner share of first buyers",Assumptions!$B:$B,0),MATCH(B71,Assumptions!$C$3:$E$3,0))*INDEX(Assumptions!$C:$E,MATCH("CPA per qualified player",Assumptions!$B:$B,0),MATCH(B71,Assumptions!$C$3:$E$3,0))*INDEX(Assumptions!$C:$E,MATCH("CPA approved rate",Assumptions!$B:$B,0),MATCH(B71,Assumptions!$C$3:$E$3,0))</f>
      </c>
      <c r="F71">
        <f>INDEX(Assumptions!$C:$E,MATCH("Monthly marketing fixed budget",Assumptions!$B:$B,0),MATCH(B71,Assumptions!$C$3:$E$3,0))</f>
      </c>
      <c r="G71">
        <f>D71*INDEX(Assumptions!$C:$E,MATCH("KYC required rate",Assumptions!$B:$B,0),MATCH(B71,Assumptions!$C$3:$E$3,0))*INDEX(Assumptions!$C:$E,MATCH("KYC cost per checked user",Assumptions!$B:$B,0),MATCH(B71,Assumptions!$C$3:$E$3,0))</f>
      </c>
      <c r="H71">
        <f>D71*INDEX(Assumptions!$C:$E,MATCH("Support cost per active user",Assumptions!$B:$B,0),MATCH(B71,Assumptions!$C$3:$E$3,0))</f>
      </c>
      <c r="I71">
        <f>INDEX(Assumptions!$C:$E,MATCH("Monthly product/dev/ops cost",Assumptions!$B:$B,0),MATCH(B71,Assumptions!$C$3:$E$3,0))</f>
      </c>
      <c r="J71">
        <f>INDEX(Assumptions!$C:$E,MATCH("Monthly legal/compliance reserve",Assumptions!$B:$B,0),MATCH(B71,Assumptions!$C$3:$E$3,0))</f>
      </c>
      <c r="K71">
        <f>INDEX(Assumptions!$C:$E,MATCH("Monthly oracle/data cost",Assumptions!$B:$B,0),MATCH(B71,Assumptions!$C$3:$E$3,0))</f>
      </c>
      <c r="L71">
        <f>INDEX(Assumptions!$C:$E,MATCH("Monthly infrastructure cost",Assumptions!$B:$B,0),MATCH(B71,Assumptions!$C$3:$E$3,0))</f>
      </c>
      <c r="M71">
        <f>INDEX(Assumptions!$C:$E,MATCH("Monthly audit/security reserve",Assumptions!$B:$B,0),MATCH(B71,Assumptions!$C$3:$E$3,0))</f>
      </c>
      <c r="N71">
        <f>INDEX(Assumptions!$C:$E,MATCH("Monthly jackpot top-up reserve",Assumptions!$B:$B,0),MATCH(B71,Assumptions!$C$3:$E$3,0))</f>
      </c>
      <c r="O71">
        <f>SUM(E71)</f>
      </c>
    </row>
    <row r="72">
      <c r="A72">
        <v>35</v>
      </c>
      <c r="B72" t="inlineStr">
        <is>
          <t>Base</t>
        </is>
      </c>
      <c r="C72">
        <f>SUMIFS(Funnel!$H:$H,Funnel!$A:$A,A72,Funnel!$B:$B,B72)</f>
      </c>
      <c r="D72">
        <f>SUMIFS(Funnel!$J:$J,Funnel!$A:$A,A72,Funnel!$B:$B,B72)</f>
      </c>
      <c r="E72">
        <f>C72*INDEX(Assumptions!$C:$E,MATCH("Partner share of first buyers",Assumptions!$B:$B,0),MATCH(B72,Assumptions!$C$3:$E$3,0))*INDEX(Assumptions!$C:$E,MATCH("CPA per qualified player",Assumptions!$B:$B,0),MATCH(B72,Assumptions!$C$3:$E$3,0))*INDEX(Assumptions!$C:$E,MATCH("CPA approved rate",Assumptions!$B:$B,0),MATCH(B72,Assumptions!$C$3:$E$3,0))</f>
      </c>
      <c r="F72">
        <f>INDEX(Assumptions!$C:$E,MATCH("Monthly marketing fixed budget",Assumptions!$B:$B,0),MATCH(B72,Assumptions!$C$3:$E$3,0))</f>
      </c>
      <c r="G72">
        <f>D72*INDEX(Assumptions!$C:$E,MATCH("KYC required rate",Assumptions!$B:$B,0),MATCH(B72,Assumptions!$C$3:$E$3,0))*INDEX(Assumptions!$C:$E,MATCH("KYC cost per checked user",Assumptions!$B:$B,0),MATCH(B72,Assumptions!$C$3:$E$3,0))</f>
      </c>
      <c r="H72">
        <f>D72*INDEX(Assumptions!$C:$E,MATCH("Support cost per active user",Assumptions!$B:$B,0),MATCH(B72,Assumptions!$C$3:$E$3,0))</f>
      </c>
      <c r="I72">
        <f>INDEX(Assumptions!$C:$E,MATCH("Monthly product/dev/ops cost",Assumptions!$B:$B,0),MATCH(B72,Assumptions!$C$3:$E$3,0))</f>
      </c>
      <c r="J72">
        <f>INDEX(Assumptions!$C:$E,MATCH("Monthly legal/compliance reserve",Assumptions!$B:$B,0),MATCH(B72,Assumptions!$C$3:$E$3,0))</f>
      </c>
      <c r="K72">
        <f>INDEX(Assumptions!$C:$E,MATCH("Monthly oracle/data cost",Assumptions!$B:$B,0),MATCH(B72,Assumptions!$C$3:$E$3,0))</f>
      </c>
      <c r="L72">
        <f>INDEX(Assumptions!$C:$E,MATCH("Monthly infrastructure cost",Assumptions!$B:$B,0),MATCH(B72,Assumptions!$C$3:$E$3,0))</f>
      </c>
      <c r="M72">
        <f>INDEX(Assumptions!$C:$E,MATCH("Monthly audit/security reserve",Assumptions!$B:$B,0),MATCH(B72,Assumptions!$C$3:$E$3,0))</f>
      </c>
      <c r="N72">
        <f>INDEX(Assumptions!$C:$E,MATCH("Monthly jackpot top-up reserve",Assumptions!$B:$B,0),MATCH(B72,Assumptions!$C$3:$E$3,0))</f>
      </c>
      <c r="O72">
        <f>SUM(E72)</f>
      </c>
    </row>
    <row r="73">
      <c r="A73">
        <v>36</v>
      </c>
      <c r="B73" t="inlineStr">
        <is>
          <t>Base</t>
        </is>
      </c>
      <c r="C73">
        <f>SUMIFS(Funnel!$H:$H,Funnel!$A:$A,A73,Funnel!$B:$B,B73)</f>
      </c>
      <c r="D73">
        <f>SUMIFS(Funnel!$J:$J,Funnel!$A:$A,A73,Funnel!$B:$B,B73)</f>
      </c>
      <c r="E73">
        <f>C73*INDEX(Assumptions!$C:$E,MATCH("Partner share of first buyers",Assumptions!$B:$B,0),MATCH(B73,Assumptions!$C$3:$E$3,0))*INDEX(Assumptions!$C:$E,MATCH("CPA per qualified player",Assumptions!$B:$B,0),MATCH(B73,Assumptions!$C$3:$E$3,0))*INDEX(Assumptions!$C:$E,MATCH("CPA approved rate",Assumptions!$B:$B,0),MATCH(B73,Assumptions!$C$3:$E$3,0))</f>
      </c>
      <c r="F73">
        <f>INDEX(Assumptions!$C:$E,MATCH("Monthly marketing fixed budget",Assumptions!$B:$B,0),MATCH(B73,Assumptions!$C$3:$E$3,0))</f>
      </c>
      <c r="G73">
        <f>D73*INDEX(Assumptions!$C:$E,MATCH("KYC required rate",Assumptions!$B:$B,0),MATCH(B73,Assumptions!$C$3:$E$3,0))*INDEX(Assumptions!$C:$E,MATCH("KYC cost per checked user",Assumptions!$B:$B,0),MATCH(B73,Assumptions!$C$3:$E$3,0))</f>
      </c>
      <c r="H73">
        <f>D73*INDEX(Assumptions!$C:$E,MATCH("Support cost per active user",Assumptions!$B:$B,0),MATCH(B73,Assumptions!$C$3:$E$3,0))</f>
      </c>
      <c r="I73">
        <f>INDEX(Assumptions!$C:$E,MATCH("Monthly product/dev/ops cost",Assumptions!$B:$B,0),MATCH(B73,Assumptions!$C$3:$E$3,0))</f>
      </c>
      <c r="J73">
        <f>INDEX(Assumptions!$C:$E,MATCH("Monthly legal/compliance reserve",Assumptions!$B:$B,0),MATCH(B73,Assumptions!$C$3:$E$3,0))</f>
      </c>
      <c r="K73">
        <f>INDEX(Assumptions!$C:$E,MATCH("Monthly oracle/data cost",Assumptions!$B:$B,0),MATCH(B73,Assumptions!$C$3:$E$3,0))</f>
      </c>
      <c r="L73">
        <f>INDEX(Assumptions!$C:$E,MATCH("Monthly infrastructure cost",Assumptions!$B:$B,0),MATCH(B73,Assumptions!$C$3:$E$3,0))</f>
      </c>
      <c r="M73">
        <f>INDEX(Assumptions!$C:$E,MATCH("Monthly audit/security reserve",Assumptions!$B:$B,0),MATCH(B73,Assumptions!$C$3:$E$3,0))</f>
      </c>
      <c r="N73">
        <f>INDEX(Assumptions!$C:$E,MATCH("Monthly jackpot top-up reserve",Assumptions!$B:$B,0),MATCH(B73,Assumptions!$C$3:$E$3,0))</f>
      </c>
      <c r="O73">
        <f>SUM(E73)</f>
      </c>
    </row>
    <row r="74">
      <c r="A74">
        <v>1</v>
      </c>
      <c r="B74" t="inlineStr">
        <is>
          <t>Upside</t>
        </is>
      </c>
      <c r="C74">
        <f>SUMIFS(Funnel!$H:$H,Funnel!$A:$A,A74,Funnel!$B:$B,B74)</f>
      </c>
      <c r="D74">
        <f>SUMIFS(Funnel!$J:$J,Funnel!$A:$A,A74,Funnel!$B:$B,B74)</f>
      </c>
      <c r="E74">
        <f>C74*INDEX(Assumptions!$C:$E,MATCH("Partner share of first buyers",Assumptions!$B:$B,0),MATCH(B74,Assumptions!$C$3:$E$3,0))*INDEX(Assumptions!$C:$E,MATCH("CPA per qualified player",Assumptions!$B:$B,0),MATCH(B74,Assumptions!$C$3:$E$3,0))*INDEX(Assumptions!$C:$E,MATCH("CPA approved rate",Assumptions!$B:$B,0),MATCH(B74,Assumptions!$C$3:$E$3,0))</f>
      </c>
      <c r="F74">
        <f>INDEX(Assumptions!$C:$E,MATCH("Monthly marketing fixed budget",Assumptions!$B:$B,0),MATCH(B74,Assumptions!$C$3:$E$3,0))</f>
      </c>
      <c r="G74">
        <f>D74*INDEX(Assumptions!$C:$E,MATCH("KYC required rate",Assumptions!$B:$B,0),MATCH(B74,Assumptions!$C$3:$E$3,0))*INDEX(Assumptions!$C:$E,MATCH("KYC cost per checked user",Assumptions!$B:$B,0),MATCH(B74,Assumptions!$C$3:$E$3,0))</f>
      </c>
      <c r="H74">
        <f>D74*INDEX(Assumptions!$C:$E,MATCH("Support cost per active user",Assumptions!$B:$B,0),MATCH(B74,Assumptions!$C$3:$E$3,0))</f>
      </c>
      <c r="I74">
        <f>INDEX(Assumptions!$C:$E,MATCH("Monthly product/dev/ops cost",Assumptions!$B:$B,0),MATCH(B74,Assumptions!$C$3:$E$3,0))</f>
      </c>
      <c r="J74">
        <f>INDEX(Assumptions!$C:$E,MATCH("Monthly legal/compliance reserve",Assumptions!$B:$B,0),MATCH(B74,Assumptions!$C$3:$E$3,0))</f>
      </c>
      <c r="K74">
        <f>INDEX(Assumptions!$C:$E,MATCH("Monthly oracle/data cost",Assumptions!$B:$B,0),MATCH(B74,Assumptions!$C$3:$E$3,0))</f>
      </c>
      <c r="L74">
        <f>INDEX(Assumptions!$C:$E,MATCH("Monthly infrastructure cost",Assumptions!$B:$B,0),MATCH(B74,Assumptions!$C$3:$E$3,0))</f>
      </c>
      <c r="M74">
        <f>INDEX(Assumptions!$C:$E,MATCH("Monthly audit/security reserve",Assumptions!$B:$B,0),MATCH(B74,Assumptions!$C$3:$E$3,0))</f>
      </c>
      <c r="N74">
        <f>INDEX(Assumptions!$C:$E,MATCH("Monthly jackpot top-up reserve",Assumptions!$B:$B,0),MATCH(B74,Assumptions!$C$3:$E$3,0))</f>
      </c>
      <c r="O74">
        <f>SUM(E74)</f>
      </c>
    </row>
    <row r="75">
      <c r="A75">
        <v>2</v>
      </c>
      <c r="B75" t="inlineStr">
        <is>
          <t>Upside</t>
        </is>
      </c>
      <c r="C75">
        <f>SUMIFS(Funnel!$H:$H,Funnel!$A:$A,A75,Funnel!$B:$B,B75)</f>
      </c>
      <c r="D75">
        <f>SUMIFS(Funnel!$J:$J,Funnel!$A:$A,A75,Funnel!$B:$B,B75)</f>
      </c>
      <c r="E75">
        <f>C75*INDEX(Assumptions!$C:$E,MATCH("Partner share of first buyers",Assumptions!$B:$B,0),MATCH(B75,Assumptions!$C$3:$E$3,0))*INDEX(Assumptions!$C:$E,MATCH("CPA per qualified player",Assumptions!$B:$B,0),MATCH(B75,Assumptions!$C$3:$E$3,0))*INDEX(Assumptions!$C:$E,MATCH("CPA approved rate",Assumptions!$B:$B,0),MATCH(B75,Assumptions!$C$3:$E$3,0))</f>
      </c>
      <c r="F75">
        <f>INDEX(Assumptions!$C:$E,MATCH("Monthly marketing fixed budget",Assumptions!$B:$B,0),MATCH(B75,Assumptions!$C$3:$E$3,0))</f>
      </c>
      <c r="G75">
        <f>D75*INDEX(Assumptions!$C:$E,MATCH("KYC required rate",Assumptions!$B:$B,0),MATCH(B75,Assumptions!$C$3:$E$3,0))*INDEX(Assumptions!$C:$E,MATCH("KYC cost per checked user",Assumptions!$B:$B,0),MATCH(B75,Assumptions!$C$3:$E$3,0))</f>
      </c>
      <c r="H75">
        <f>D75*INDEX(Assumptions!$C:$E,MATCH("Support cost per active user",Assumptions!$B:$B,0),MATCH(B75,Assumptions!$C$3:$E$3,0))</f>
      </c>
      <c r="I75">
        <f>INDEX(Assumptions!$C:$E,MATCH("Monthly product/dev/ops cost",Assumptions!$B:$B,0),MATCH(B75,Assumptions!$C$3:$E$3,0))</f>
      </c>
      <c r="J75">
        <f>INDEX(Assumptions!$C:$E,MATCH("Monthly legal/compliance reserve",Assumptions!$B:$B,0),MATCH(B75,Assumptions!$C$3:$E$3,0))</f>
      </c>
      <c r="K75">
        <f>INDEX(Assumptions!$C:$E,MATCH("Monthly oracle/data cost",Assumptions!$B:$B,0),MATCH(B75,Assumptions!$C$3:$E$3,0))</f>
      </c>
      <c r="L75">
        <f>INDEX(Assumptions!$C:$E,MATCH("Monthly infrastructure cost",Assumptions!$B:$B,0),MATCH(B75,Assumptions!$C$3:$E$3,0))</f>
      </c>
      <c r="M75">
        <f>INDEX(Assumptions!$C:$E,MATCH("Monthly audit/security reserve",Assumptions!$B:$B,0),MATCH(B75,Assumptions!$C$3:$E$3,0))</f>
      </c>
      <c r="N75">
        <f>INDEX(Assumptions!$C:$E,MATCH("Monthly jackpot top-up reserve",Assumptions!$B:$B,0),MATCH(B75,Assumptions!$C$3:$E$3,0))</f>
      </c>
      <c r="O75">
        <f>SUM(E75)</f>
      </c>
    </row>
    <row r="76">
      <c r="A76">
        <v>3</v>
      </c>
      <c r="B76" t="inlineStr">
        <is>
          <t>Upside</t>
        </is>
      </c>
      <c r="C76">
        <f>SUMIFS(Funnel!$H:$H,Funnel!$A:$A,A76,Funnel!$B:$B,B76)</f>
      </c>
      <c r="D76">
        <f>SUMIFS(Funnel!$J:$J,Funnel!$A:$A,A76,Funnel!$B:$B,B76)</f>
      </c>
      <c r="E76">
        <f>C76*INDEX(Assumptions!$C:$E,MATCH("Partner share of first buyers",Assumptions!$B:$B,0),MATCH(B76,Assumptions!$C$3:$E$3,0))*INDEX(Assumptions!$C:$E,MATCH("CPA per qualified player",Assumptions!$B:$B,0),MATCH(B76,Assumptions!$C$3:$E$3,0))*INDEX(Assumptions!$C:$E,MATCH("CPA approved rate",Assumptions!$B:$B,0),MATCH(B76,Assumptions!$C$3:$E$3,0))</f>
      </c>
      <c r="F76">
        <f>INDEX(Assumptions!$C:$E,MATCH("Monthly marketing fixed budget",Assumptions!$B:$B,0),MATCH(B76,Assumptions!$C$3:$E$3,0))</f>
      </c>
      <c r="G76">
        <f>D76*INDEX(Assumptions!$C:$E,MATCH("KYC required rate",Assumptions!$B:$B,0),MATCH(B76,Assumptions!$C$3:$E$3,0))*INDEX(Assumptions!$C:$E,MATCH("KYC cost per checked user",Assumptions!$B:$B,0),MATCH(B76,Assumptions!$C$3:$E$3,0))</f>
      </c>
      <c r="H76">
        <f>D76*INDEX(Assumptions!$C:$E,MATCH("Support cost per active user",Assumptions!$B:$B,0),MATCH(B76,Assumptions!$C$3:$E$3,0))</f>
      </c>
      <c r="I76">
        <f>INDEX(Assumptions!$C:$E,MATCH("Monthly product/dev/ops cost",Assumptions!$B:$B,0),MATCH(B76,Assumptions!$C$3:$E$3,0))</f>
      </c>
      <c r="J76">
        <f>INDEX(Assumptions!$C:$E,MATCH("Monthly legal/compliance reserve",Assumptions!$B:$B,0),MATCH(B76,Assumptions!$C$3:$E$3,0))</f>
      </c>
      <c r="K76">
        <f>INDEX(Assumptions!$C:$E,MATCH("Monthly oracle/data cost",Assumptions!$B:$B,0),MATCH(B76,Assumptions!$C$3:$E$3,0))</f>
      </c>
      <c r="L76">
        <f>INDEX(Assumptions!$C:$E,MATCH("Monthly infrastructure cost",Assumptions!$B:$B,0),MATCH(B76,Assumptions!$C$3:$E$3,0))</f>
      </c>
      <c r="M76">
        <f>INDEX(Assumptions!$C:$E,MATCH("Monthly audit/security reserve",Assumptions!$B:$B,0),MATCH(B76,Assumptions!$C$3:$E$3,0))</f>
      </c>
      <c r="N76">
        <f>INDEX(Assumptions!$C:$E,MATCH("Monthly jackpot top-up reserve",Assumptions!$B:$B,0),MATCH(B76,Assumptions!$C$3:$E$3,0))</f>
      </c>
      <c r="O76">
        <f>SUM(E76)</f>
      </c>
    </row>
    <row r="77">
      <c r="A77">
        <v>4</v>
      </c>
      <c r="B77" t="inlineStr">
        <is>
          <t>Upside</t>
        </is>
      </c>
      <c r="C77">
        <f>SUMIFS(Funnel!$H:$H,Funnel!$A:$A,A77,Funnel!$B:$B,B77)</f>
      </c>
      <c r="D77">
        <f>SUMIFS(Funnel!$J:$J,Funnel!$A:$A,A77,Funnel!$B:$B,B77)</f>
      </c>
      <c r="E77">
        <f>C77*INDEX(Assumptions!$C:$E,MATCH("Partner share of first buyers",Assumptions!$B:$B,0),MATCH(B77,Assumptions!$C$3:$E$3,0))*INDEX(Assumptions!$C:$E,MATCH("CPA per qualified player",Assumptions!$B:$B,0),MATCH(B77,Assumptions!$C$3:$E$3,0))*INDEX(Assumptions!$C:$E,MATCH("CPA approved rate",Assumptions!$B:$B,0),MATCH(B77,Assumptions!$C$3:$E$3,0))</f>
      </c>
      <c r="F77">
        <f>INDEX(Assumptions!$C:$E,MATCH("Monthly marketing fixed budget",Assumptions!$B:$B,0),MATCH(B77,Assumptions!$C$3:$E$3,0))</f>
      </c>
      <c r="G77">
        <f>D77*INDEX(Assumptions!$C:$E,MATCH("KYC required rate",Assumptions!$B:$B,0),MATCH(B77,Assumptions!$C$3:$E$3,0))*INDEX(Assumptions!$C:$E,MATCH("KYC cost per checked user",Assumptions!$B:$B,0),MATCH(B77,Assumptions!$C$3:$E$3,0))</f>
      </c>
      <c r="H77">
        <f>D77*INDEX(Assumptions!$C:$E,MATCH("Support cost per active user",Assumptions!$B:$B,0),MATCH(B77,Assumptions!$C$3:$E$3,0))</f>
      </c>
      <c r="I77">
        <f>INDEX(Assumptions!$C:$E,MATCH("Monthly product/dev/ops cost",Assumptions!$B:$B,0),MATCH(B77,Assumptions!$C$3:$E$3,0))</f>
      </c>
      <c r="J77">
        <f>INDEX(Assumptions!$C:$E,MATCH("Monthly legal/compliance reserve",Assumptions!$B:$B,0),MATCH(B77,Assumptions!$C$3:$E$3,0))</f>
      </c>
      <c r="K77">
        <f>INDEX(Assumptions!$C:$E,MATCH("Monthly oracle/data cost",Assumptions!$B:$B,0),MATCH(B77,Assumptions!$C$3:$E$3,0))</f>
      </c>
      <c r="L77">
        <f>INDEX(Assumptions!$C:$E,MATCH("Monthly infrastructure cost",Assumptions!$B:$B,0),MATCH(B77,Assumptions!$C$3:$E$3,0))</f>
      </c>
      <c r="M77">
        <f>INDEX(Assumptions!$C:$E,MATCH("Monthly audit/security reserve",Assumptions!$B:$B,0),MATCH(B77,Assumptions!$C$3:$E$3,0))</f>
      </c>
      <c r="N77">
        <f>INDEX(Assumptions!$C:$E,MATCH("Monthly jackpot top-up reserve",Assumptions!$B:$B,0),MATCH(B77,Assumptions!$C$3:$E$3,0))</f>
      </c>
      <c r="O77">
        <f>SUM(E77)</f>
      </c>
    </row>
    <row r="78">
      <c r="A78">
        <v>5</v>
      </c>
      <c r="B78" t="inlineStr">
        <is>
          <t>Upside</t>
        </is>
      </c>
      <c r="C78">
        <f>SUMIFS(Funnel!$H:$H,Funnel!$A:$A,A78,Funnel!$B:$B,B78)</f>
      </c>
      <c r="D78">
        <f>SUMIFS(Funnel!$J:$J,Funnel!$A:$A,A78,Funnel!$B:$B,B78)</f>
      </c>
      <c r="E78">
        <f>C78*INDEX(Assumptions!$C:$E,MATCH("Partner share of first buyers",Assumptions!$B:$B,0),MATCH(B78,Assumptions!$C$3:$E$3,0))*INDEX(Assumptions!$C:$E,MATCH("CPA per qualified player",Assumptions!$B:$B,0),MATCH(B78,Assumptions!$C$3:$E$3,0))*INDEX(Assumptions!$C:$E,MATCH("CPA approved rate",Assumptions!$B:$B,0),MATCH(B78,Assumptions!$C$3:$E$3,0))</f>
      </c>
      <c r="F78">
        <f>INDEX(Assumptions!$C:$E,MATCH("Monthly marketing fixed budget",Assumptions!$B:$B,0),MATCH(B78,Assumptions!$C$3:$E$3,0))</f>
      </c>
      <c r="G78">
        <f>D78*INDEX(Assumptions!$C:$E,MATCH("KYC required rate",Assumptions!$B:$B,0),MATCH(B78,Assumptions!$C$3:$E$3,0))*INDEX(Assumptions!$C:$E,MATCH("KYC cost per checked user",Assumptions!$B:$B,0),MATCH(B78,Assumptions!$C$3:$E$3,0))</f>
      </c>
      <c r="H78">
        <f>D78*INDEX(Assumptions!$C:$E,MATCH("Support cost per active user",Assumptions!$B:$B,0),MATCH(B78,Assumptions!$C$3:$E$3,0))</f>
      </c>
      <c r="I78">
        <f>INDEX(Assumptions!$C:$E,MATCH("Monthly product/dev/ops cost",Assumptions!$B:$B,0),MATCH(B78,Assumptions!$C$3:$E$3,0))</f>
      </c>
      <c r="J78">
        <f>INDEX(Assumptions!$C:$E,MATCH("Monthly legal/compliance reserve",Assumptions!$B:$B,0),MATCH(B78,Assumptions!$C$3:$E$3,0))</f>
      </c>
      <c r="K78">
        <f>INDEX(Assumptions!$C:$E,MATCH("Monthly oracle/data cost",Assumptions!$B:$B,0),MATCH(B78,Assumptions!$C$3:$E$3,0))</f>
      </c>
      <c r="L78">
        <f>INDEX(Assumptions!$C:$E,MATCH("Monthly infrastructure cost",Assumptions!$B:$B,0),MATCH(B78,Assumptions!$C$3:$E$3,0))</f>
      </c>
      <c r="M78">
        <f>INDEX(Assumptions!$C:$E,MATCH("Monthly audit/security reserve",Assumptions!$B:$B,0),MATCH(B78,Assumptions!$C$3:$E$3,0))</f>
      </c>
      <c r="N78">
        <f>INDEX(Assumptions!$C:$E,MATCH("Monthly jackpot top-up reserve",Assumptions!$B:$B,0),MATCH(B78,Assumptions!$C$3:$E$3,0))</f>
      </c>
      <c r="O78">
        <f>SUM(E78)</f>
      </c>
    </row>
    <row r="79">
      <c r="A79">
        <v>6</v>
      </c>
      <c r="B79" t="inlineStr">
        <is>
          <t>Upside</t>
        </is>
      </c>
      <c r="C79">
        <f>SUMIFS(Funnel!$H:$H,Funnel!$A:$A,A79,Funnel!$B:$B,B79)</f>
      </c>
      <c r="D79">
        <f>SUMIFS(Funnel!$J:$J,Funnel!$A:$A,A79,Funnel!$B:$B,B79)</f>
      </c>
      <c r="E79">
        <f>C79*INDEX(Assumptions!$C:$E,MATCH("Partner share of first buyers",Assumptions!$B:$B,0),MATCH(B79,Assumptions!$C$3:$E$3,0))*INDEX(Assumptions!$C:$E,MATCH("CPA per qualified player",Assumptions!$B:$B,0),MATCH(B79,Assumptions!$C$3:$E$3,0))*INDEX(Assumptions!$C:$E,MATCH("CPA approved rate",Assumptions!$B:$B,0),MATCH(B79,Assumptions!$C$3:$E$3,0))</f>
      </c>
      <c r="F79">
        <f>INDEX(Assumptions!$C:$E,MATCH("Monthly marketing fixed budget",Assumptions!$B:$B,0),MATCH(B79,Assumptions!$C$3:$E$3,0))</f>
      </c>
      <c r="G79">
        <f>D79*INDEX(Assumptions!$C:$E,MATCH("KYC required rate",Assumptions!$B:$B,0),MATCH(B79,Assumptions!$C$3:$E$3,0))*INDEX(Assumptions!$C:$E,MATCH("KYC cost per checked user",Assumptions!$B:$B,0),MATCH(B79,Assumptions!$C$3:$E$3,0))</f>
      </c>
      <c r="H79">
        <f>D79*INDEX(Assumptions!$C:$E,MATCH("Support cost per active user",Assumptions!$B:$B,0),MATCH(B79,Assumptions!$C$3:$E$3,0))</f>
      </c>
      <c r="I79">
        <f>INDEX(Assumptions!$C:$E,MATCH("Monthly product/dev/ops cost",Assumptions!$B:$B,0),MATCH(B79,Assumptions!$C$3:$E$3,0))</f>
      </c>
      <c r="J79">
        <f>INDEX(Assumptions!$C:$E,MATCH("Monthly legal/compliance reserve",Assumptions!$B:$B,0),MATCH(B79,Assumptions!$C$3:$E$3,0))</f>
      </c>
      <c r="K79">
        <f>INDEX(Assumptions!$C:$E,MATCH("Monthly oracle/data cost",Assumptions!$B:$B,0),MATCH(B79,Assumptions!$C$3:$E$3,0))</f>
      </c>
      <c r="L79">
        <f>INDEX(Assumptions!$C:$E,MATCH("Monthly infrastructure cost",Assumptions!$B:$B,0),MATCH(B79,Assumptions!$C$3:$E$3,0))</f>
      </c>
      <c r="M79">
        <f>INDEX(Assumptions!$C:$E,MATCH("Monthly audit/security reserve",Assumptions!$B:$B,0),MATCH(B79,Assumptions!$C$3:$E$3,0))</f>
      </c>
      <c r="N79">
        <f>INDEX(Assumptions!$C:$E,MATCH("Monthly jackpot top-up reserve",Assumptions!$B:$B,0),MATCH(B79,Assumptions!$C$3:$E$3,0))</f>
      </c>
      <c r="O79">
        <f>SUM(E79)</f>
      </c>
    </row>
    <row r="80">
      <c r="A80">
        <v>7</v>
      </c>
      <c r="B80" t="inlineStr">
        <is>
          <t>Upside</t>
        </is>
      </c>
      <c r="C80">
        <f>SUMIFS(Funnel!$H:$H,Funnel!$A:$A,A80,Funnel!$B:$B,B80)</f>
      </c>
      <c r="D80">
        <f>SUMIFS(Funnel!$J:$J,Funnel!$A:$A,A80,Funnel!$B:$B,B80)</f>
      </c>
      <c r="E80">
        <f>C80*INDEX(Assumptions!$C:$E,MATCH("Partner share of first buyers",Assumptions!$B:$B,0),MATCH(B80,Assumptions!$C$3:$E$3,0))*INDEX(Assumptions!$C:$E,MATCH("CPA per qualified player",Assumptions!$B:$B,0),MATCH(B80,Assumptions!$C$3:$E$3,0))*INDEX(Assumptions!$C:$E,MATCH("CPA approved rate",Assumptions!$B:$B,0),MATCH(B80,Assumptions!$C$3:$E$3,0))</f>
      </c>
      <c r="F80">
        <f>INDEX(Assumptions!$C:$E,MATCH("Monthly marketing fixed budget",Assumptions!$B:$B,0),MATCH(B80,Assumptions!$C$3:$E$3,0))</f>
      </c>
      <c r="G80">
        <f>D80*INDEX(Assumptions!$C:$E,MATCH("KYC required rate",Assumptions!$B:$B,0),MATCH(B80,Assumptions!$C$3:$E$3,0))*INDEX(Assumptions!$C:$E,MATCH("KYC cost per checked user",Assumptions!$B:$B,0),MATCH(B80,Assumptions!$C$3:$E$3,0))</f>
      </c>
      <c r="H80">
        <f>D80*INDEX(Assumptions!$C:$E,MATCH("Support cost per active user",Assumptions!$B:$B,0),MATCH(B80,Assumptions!$C$3:$E$3,0))</f>
      </c>
      <c r="I80">
        <f>INDEX(Assumptions!$C:$E,MATCH("Monthly product/dev/ops cost",Assumptions!$B:$B,0),MATCH(B80,Assumptions!$C$3:$E$3,0))</f>
      </c>
      <c r="J80">
        <f>INDEX(Assumptions!$C:$E,MATCH("Monthly legal/compliance reserve",Assumptions!$B:$B,0),MATCH(B80,Assumptions!$C$3:$E$3,0))</f>
      </c>
      <c r="K80">
        <f>INDEX(Assumptions!$C:$E,MATCH("Monthly oracle/data cost",Assumptions!$B:$B,0),MATCH(B80,Assumptions!$C$3:$E$3,0))</f>
      </c>
      <c r="L80">
        <f>INDEX(Assumptions!$C:$E,MATCH("Monthly infrastructure cost",Assumptions!$B:$B,0),MATCH(B80,Assumptions!$C$3:$E$3,0))</f>
      </c>
      <c r="M80">
        <f>INDEX(Assumptions!$C:$E,MATCH("Monthly audit/security reserve",Assumptions!$B:$B,0),MATCH(B80,Assumptions!$C$3:$E$3,0))</f>
      </c>
      <c r="N80">
        <f>INDEX(Assumptions!$C:$E,MATCH("Monthly jackpot top-up reserve",Assumptions!$B:$B,0),MATCH(B80,Assumptions!$C$3:$E$3,0))</f>
      </c>
      <c r="O80">
        <f>SUM(E80)</f>
      </c>
    </row>
    <row r="81">
      <c r="A81">
        <v>8</v>
      </c>
      <c r="B81" t="inlineStr">
        <is>
          <t>Upside</t>
        </is>
      </c>
      <c r="C81">
        <f>SUMIFS(Funnel!$H:$H,Funnel!$A:$A,A81,Funnel!$B:$B,B81)</f>
      </c>
      <c r="D81">
        <f>SUMIFS(Funnel!$J:$J,Funnel!$A:$A,A81,Funnel!$B:$B,B81)</f>
      </c>
      <c r="E81">
        <f>C81*INDEX(Assumptions!$C:$E,MATCH("Partner share of first buyers",Assumptions!$B:$B,0),MATCH(B81,Assumptions!$C$3:$E$3,0))*INDEX(Assumptions!$C:$E,MATCH("CPA per qualified player",Assumptions!$B:$B,0),MATCH(B81,Assumptions!$C$3:$E$3,0))*INDEX(Assumptions!$C:$E,MATCH("CPA approved rate",Assumptions!$B:$B,0),MATCH(B81,Assumptions!$C$3:$E$3,0))</f>
      </c>
      <c r="F81">
        <f>INDEX(Assumptions!$C:$E,MATCH("Monthly marketing fixed budget",Assumptions!$B:$B,0),MATCH(B81,Assumptions!$C$3:$E$3,0))</f>
      </c>
      <c r="G81">
        <f>D81*INDEX(Assumptions!$C:$E,MATCH("KYC required rate",Assumptions!$B:$B,0),MATCH(B81,Assumptions!$C$3:$E$3,0))*INDEX(Assumptions!$C:$E,MATCH("KYC cost per checked user",Assumptions!$B:$B,0),MATCH(B81,Assumptions!$C$3:$E$3,0))</f>
      </c>
      <c r="H81">
        <f>D81*INDEX(Assumptions!$C:$E,MATCH("Support cost per active user",Assumptions!$B:$B,0),MATCH(B81,Assumptions!$C$3:$E$3,0))</f>
      </c>
      <c r="I81">
        <f>INDEX(Assumptions!$C:$E,MATCH("Monthly product/dev/ops cost",Assumptions!$B:$B,0),MATCH(B81,Assumptions!$C$3:$E$3,0))</f>
      </c>
      <c r="J81">
        <f>INDEX(Assumptions!$C:$E,MATCH("Monthly legal/compliance reserve",Assumptions!$B:$B,0),MATCH(B81,Assumptions!$C$3:$E$3,0))</f>
      </c>
      <c r="K81">
        <f>INDEX(Assumptions!$C:$E,MATCH("Monthly oracle/data cost",Assumptions!$B:$B,0),MATCH(B81,Assumptions!$C$3:$E$3,0))</f>
      </c>
      <c r="L81">
        <f>INDEX(Assumptions!$C:$E,MATCH("Monthly infrastructure cost",Assumptions!$B:$B,0),MATCH(B81,Assumptions!$C$3:$E$3,0))</f>
      </c>
      <c r="M81">
        <f>INDEX(Assumptions!$C:$E,MATCH("Monthly audit/security reserve",Assumptions!$B:$B,0),MATCH(B81,Assumptions!$C$3:$E$3,0))</f>
      </c>
      <c r="N81">
        <f>INDEX(Assumptions!$C:$E,MATCH("Monthly jackpot top-up reserve",Assumptions!$B:$B,0),MATCH(B81,Assumptions!$C$3:$E$3,0))</f>
      </c>
      <c r="O81">
        <f>SUM(E81)</f>
      </c>
    </row>
    <row r="82">
      <c r="A82">
        <v>9</v>
      </c>
      <c r="B82" t="inlineStr">
        <is>
          <t>Upside</t>
        </is>
      </c>
      <c r="C82">
        <f>SUMIFS(Funnel!$H:$H,Funnel!$A:$A,A82,Funnel!$B:$B,B82)</f>
      </c>
      <c r="D82">
        <f>SUMIFS(Funnel!$J:$J,Funnel!$A:$A,A82,Funnel!$B:$B,B82)</f>
      </c>
      <c r="E82">
        <f>C82*INDEX(Assumptions!$C:$E,MATCH("Partner share of first buyers",Assumptions!$B:$B,0),MATCH(B82,Assumptions!$C$3:$E$3,0))*INDEX(Assumptions!$C:$E,MATCH("CPA per qualified player",Assumptions!$B:$B,0),MATCH(B82,Assumptions!$C$3:$E$3,0))*INDEX(Assumptions!$C:$E,MATCH("CPA approved rate",Assumptions!$B:$B,0),MATCH(B82,Assumptions!$C$3:$E$3,0))</f>
      </c>
      <c r="F82">
        <f>INDEX(Assumptions!$C:$E,MATCH("Monthly marketing fixed budget",Assumptions!$B:$B,0),MATCH(B82,Assumptions!$C$3:$E$3,0))</f>
      </c>
      <c r="G82">
        <f>D82*INDEX(Assumptions!$C:$E,MATCH("KYC required rate",Assumptions!$B:$B,0),MATCH(B82,Assumptions!$C$3:$E$3,0))*INDEX(Assumptions!$C:$E,MATCH("KYC cost per checked user",Assumptions!$B:$B,0),MATCH(B82,Assumptions!$C$3:$E$3,0))</f>
      </c>
      <c r="H82">
        <f>D82*INDEX(Assumptions!$C:$E,MATCH("Support cost per active user",Assumptions!$B:$B,0),MATCH(B82,Assumptions!$C$3:$E$3,0))</f>
      </c>
      <c r="I82">
        <f>INDEX(Assumptions!$C:$E,MATCH("Monthly product/dev/ops cost",Assumptions!$B:$B,0),MATCH(B82,Assumptions!$C$3:$E$3,0))</f>
      </c>
      <c r="J82">
        <f>INDEX(Assumptions!$C:$E,MATCH("Monthly legal/compliance reserve",Assumptions!$B:$B,0),MATCH(B82,Assumptions!$C$3:$E$3,0))</f>
      </c>
      <c r="K82">
        <f>INDEX(Assumptions!$C:$E,MATCH("Monthly oracle/data cost",Assumptions!$B:$B,0),MATCH(B82,Assumptions!$C$3:$E$3,0))</f>
      </c>
      <c r="L82">
        <f>INDEX(Assumptions!$C:$E,MATCH("Monthly infrastructure cost",Assumptions!$B:$B,0),MATCH(B82,Assumptions!$C$3:$E$3,0))</f>
      </c>
      <c r="M82">
        <f>INDEX(Assumptions!$C:$E,MATCH("Monthly audit/security reserve",Assumptions!$B:$B,0),MATCH(B82,Assumptions!$C$3:$E$3,0))</f>
      </c>
      <c r="N82">
        <f>INDEX(Assumptions!$C:$E,MATCH("Monthly jackpot top-up reserve",Assumptions!$B:$B,0),MATCH(B82,Assumptions!$C$3:$E$3,0))</f>
      </c>
      <c r="O82">
        <f>SUM(E82)</f>
      </c>
    </row>
    <row r="83">
      <c r="A83">
        <v>10</v>
      </c>
      <c r="B83" t="inlineStr">
        <is>
          <t>Upside</t>
        </is>
      </c>
      <c r="C83">
        <f>SUMIFS(Funnel!$H:$H,Funnel!$A:$A,A83,Funnel!$B:$B,B83)</f>
      </c>
      <c r="D83">
        <f>SUMIFS(Funnel!$J:$J,Funnel!$A:$A,A83,Funnel!$B:$B,B83)</f>
      </c>
      <c r="E83">
        <f>C83*INDEX(Assumptions!$C:$E,MATCH("Partner share of first buyers",Assumptions!$B:$B,0),MATCH(B83,Assumptions!$C$3:$E$3,0))*INDEX(Assumptions!$C:$E,MATCH("CPA per qualified player",Assumptions!$B:$B,0),MATCH(B83,Assumptions!$C$3:$E$3,0))*INDEX(Assumptions!$C:$E,MATCH("CPA approved rate",Assumptions!$B:$B,0),MATCH(B83,Assumptions!$C$3:$E$3,0))</f>
      </c>
      <c r="F83">
        <f>INDEX(Assumptions!$C:$E,MATCH("Monthly marketing fixed budget",Assumptions!$B:$B,0),MATCH(B83,Assumptions!$C$3:$E$3,0))</f>
      </c>
      <c r="G83">
        <f>D83*INDEX(Assumptions!$C:$E,MATCH("KYC required rate",Assumptions!$B:$B,0),MATCH(B83,Assumptions!$C$3:$E$3,0))*INDEX(Assumptions!$C:$E,MATCH("KYC cost per checked user",Assumptions!$B:$B,0),MATCH(B83,Assumptions!$C$3:$E$3,0))</f>
      </c>
      <c r="H83">
        <f>D83*INDEX(Assumptions!$C:$E,MATCH("Support cost per active user",Assumptions!$B:$B,0),MATCH(B83,Assumptions!$C$3:$E$3,0))</f>
      </c>
      <c r="I83">
        <f>INDEX(Assumptions!$C:$E,MATCH("Monthly product/dev/ops cost",Assumptions!$B:$B,0),MATCH(B83,Assumptions!$C$3:$E$3,0))</f>
      </c>
      <c r="J83">
        <f>INDEX(Assumptions!$C:$E,MATCH("Monthly legal/compliance reserve",Assumptions!$B:$B,0),MATCH(B83,Assumptions!$C$3:$E$3,0))</f>
      </c>
      <c r="K83">
        <f>INDEX(Assumptions!$C:$E,MATCH("Monthly oracle/data cost",Assumptions!$B:$B,0),MATCH(B83,Assumptions!$C$3:$E$3,0))</f>
      </c>
      <c r="L83">
        <f>INDEX(Assumptions!$C:$E,MATCH("Monthly infrastructure cost",Assumptions!$B:$B,0),MATCH(B83,Assumptions!$C$3:$E$3,0))</f>
      </c>
      <c r="M83">
        <f>INDEX(Assumptions!$C:$E,MATCH("Monthly audit/security reserve",Assumptions!$B:$B,0),MATCH(B83,Assumptions!$C$3:$E$3,0))</f>
      </c>
      <c r="N83">
        <f>INDEX(Assumptions!$C:$E,MATCH("Monthly jackpot top-up reserve",Assumptions!$B:$B,0),MATCH(B83,Assumptions!$C$3:$E$3,0))</f>
      </c>
      <c r="O83">
        <f>SUM(E83)</f>
      </c>
    </row>
    <row r="84">
      <c r="A84">
        <v>11</v>
      </c>
      <c r="B84" t="inlineStr">
        <is>
          <t>Upside</t>
        </is>
      </c>
      <c r="C84">
        <f>SUMIFS(Funnel!$H:$H,Funnel!$A:$A,A84,Funnel!$B:$B,B84)</f>
      </c>
      <c r="D84">
        <f>SUMIFS(Funnel!$J:$J,Funnel!$A:$A,A84,Funnel!$B:$B,B84)</f>
      </c>
      <c r="E84">
        <f>C84*INDEX(Assumptions!$C:$E,MATCH("Partner share of first buyers",Assumptions!$B:$B,0),MATCH(B84,Assumptions!$C$3:$E$3,0))*INDEX(Assumptions!$C:$E,MATCH("CPA per qualified player",Assumptions!$B:$B,0),MATCH(B84,Assumptions!$C$3:$E$3,0))*INDEX(Assumptions!$C:$E,MATCH("CPA approved rate",Assumptions!$B:$B,0),MATCH(B84,Assumptions!$C$3:$E$3,0))</f>
      </c>
      <c r="F84">
        <f>INDEX(Assumptions!$C:$E,MATCH("Monthly marketing fixed budget",Assumptions!$B:$B,0),MATCH(B84,Assumptions!$C$3:$E$3,0))</f>
      </c>
      <c r="G84">
        <f>D84*INDEX(Assumptions!$C:$E,MATCH("KYC required rate",Assumptions!$B:$B,0),MATCH(B84,Assumptions!$C$3:$E$3,0))*INDEX(Assumptions!$C:$E,MATCH("KYC cost per checked user",Assumptions!$B:$B,0),MATCH(B84,Assumptions!$C$3:$E$3,0))</f>
      </c>
      <c r="H84">
        <f>D84*INDEX(Assumptions!$C:$E,MATCH("Support cost per active user",Assumptions!$B:$B,0),MATCH(B84,Assumptions!$C$3:$E$3,0))</f>
      </c>
      <c r="I84">
        <f>INDEX(Assumptions!$C:$E,MATCH("Monthly product/dev/ops cost",Assumptions!$B:$B,0),MATCH(B84,Assumptions!$C$3:$E$3,0))</f>
      </c>
      <c r="J84">
        <f>INDEX(Assumptions!$C:$E,MATCH("Monthly legal/compliance reserve",Assumptions!$B:$B,0),MATCH(B84,Assumptions!$C$3:$E$3,0))</f>
      </c>
      <c r="K84">
        <f>INDEX(Assumptions!$C:$E,MATCH("Monthly oracle/data cost",Assumptions!$B:$B,0),MATCH(B84,Assumptions!$C$3:$E$3,0))</f>
      </c>
      <c r="L84">
        <f>INDEX(Assumptions!$C:$E,MATCH("Monthly infrastructure cost",Assumptions!$B:$B,0),MATCH(B84,Assumptions!$C$3:$E$3,0))</f>
      </c>
      <c r="M84">
        <f>INDEX(Assumptions!$C:$E,MATCH("Monthly audit/security reserve",Assumptions!$B:$B,0),MATCH(B84,Assumptions!$C$3:$E$3,0))</f>
      </c>
      <c r="N84">
        <f>INDEX(Assumptions!$C:$E,MATCH("Monthly jackpot top-up reserve",Assumptions!$B:$B,0),MATCH(B84,Assumptions!$C$3:$E$3,0))</f>
      </c>
      <c r="O84">
        <f>SUM(E84)</f>
      </c>
    </row>
    <row r="85">
      <c r="A85">
        <v>12</v>
      </c>
      <c r="B85" t="inlineStr">
        <is>
          <t>Upside</t>
        </is>
      </c>
      <c r="C85">
        <f>SUMIFS(Funnel!$H:$H,Funnel!$A:$A,A85,Funnel!$B:$B,B85)</f>
      </c>
      <c r="D85">
        <f>SUMIFS(Funnel!$J:$J,Funnel!$A:$A,A85,Funnel!$B:$B,B85)</f>
      </c>
      <c r="E85">
        <f>C85*INDEX(Assumptions!$C:$E,MATCH("Partner share of first buyers",Assumptions!$B:$B,0),MATCH(B85,Assumptions!$C$3:$E$3,0))*INDEX(Assumptions!$C:$E,MATCH("CPA per qualified player",Assumptions!$B:$B,0),MATCH(B85,Assumptions!$C$3:$E$3,0))*INDEX(Assumptions!$C:$E,MATCH("CPA approved rate",Assumptions!$B:$B,0),MATCH(B85,Assumptions!$C$3:$E$3,0))</f>
      </c>
      <c r="F85">
        <f>INDEX(Assumptions!$C:$E,MATCH("Monthly marketing fixed budget",Assumptions!$B:$B,0),MATCH(B85,Assumptions!$C$3:$E$3,0))</f>
      </c>
      <c r="G85">
        <f>D85*INDEX(Assumptions!$C:$E,MATCH("KYC required rate",Assumptions!$B:$B,0),MATCH(B85,Assumptions!$C$3:$E$3,0))*INDEX(Assumptions!$C:$E,MATCH("KYC cost per checked user",Assumptions!$B:$B,0),MATCH(B85,Assumptions!$C$3:$E$3,0))</f>
      </c>
      <c r="H85">
        <f>D85*INDEX(Assumptions!$C:$E,MATCH("Support cost per active user",Assumptions!$B:$B,0),MATCH(B85,Assumptions!$C$3:$E$3,0))</f>
      </c>
      <c r="I85">
        <f>INDEX(Assumptions!$C:$E,MATCH("Monthly product/dev/ops cost",Assumptions!$B:$B,0),MATCH(B85,Assumptions!$C$3:$E$3,0))</f>
      </c>
      <c r="J85">
        <f>INDEX(Assumptions!$C:$E,MATCH("Monthly legal/compliance reserve",Assumptions!$B:$B,0),MATCH(B85,Assumptions!$C$3:$E$3,0))</f>
      </c>
      <c r="K85">
        <f>INDEX(Assumptions!$C:$E,MATCH("Monthly oracle/data cost",Assumptions!$B:$B,0),MATCH(B85,Assumptions!$C$3:$E$3,0))</f>
      </c>
      <c r="L85">
        <f>INDEX(Assumptions!$C:$E,MATCH("Monthly infrastructure cost",Assumptions!$B:$B,0),MATCH(B85,Assumptions!$C$3:$E$3,0))</f>
      </c>
      <c r="M85">
        <f>INDEX(Assumptions!$C:$E,MATCH("Monthly audit/security reserve",Assumptions!$B:$B,0),MATCH(B85,Assumptions!$C$3:$E$3,0))</f>
      </c>
      <c r="N85">
        <f>INDEX(Assumptions!$C:$E,MATCH("Monthly jackpot top-up reserve",Assumptions!$B:$B,0),MATCH(B85,Assumptions!$C$3:$E$3,0))</f>
      </c>
      <c r="O85">
        <f>SUM(E85)</f>
      </c>
    </row>
    <row r="86">
      <c r="A86">
        <v>13</v>
      </c>
      <c r="B86" t="inlineStr">
        <is>
          <t>Upside</t>
        </is>
      </c>
      <c r="C86">
        <f>SUMIFS(Funnel!$H:$H,Funnel!$A:$A,A86,Funnel!$B:$B,B86)</f>
      </c>
      <c r="D86">
        <f>SUMIFS(Funnel!$J:$J,Funnel!$A:$A,A86,Funnel!$B:$B,B86)</f>
      </c>
      <c r="E86">
        <f>C86*INDEX(Assumptions!$C:$E,MATCH("Partner share of first buyers",Assumptions!$B:$B,0),MATCH(B86,Assumptions!$C$3:$E$3,0))*INDEX(Assumptions!$C:$E,MATCH("CPA per qualified player",Assumptions!$B:$B,0),MATCH(B86,Assumptions!$C$3:$E$3,0))*INDEX(Assumptions!$C:$E,MATCH("CPA approved rate",Assumptions!$B:$B,0),MATCH(B86,Assumptions!$C$3:$E$3,0))</f>
      </c>
      <c r="F86">
        <f>INDEX(Assumptions!$C:$E,MATCH("Monthly marketing fixed budget",Assumptions!$B:$B,0),MATCH(B86,Assumptions!$C$3:$E$3,0))</f>
      </c>
      <c r="G86">
        <f>D86*INDEX(Assumptions!$C:$E,MATCH("KYC required rate",Assumptions!$B:$B,0),MATCH(B86,Assumptions!$C$3:$E$3,0))*INDEX(Assumptions!$C:$E,MATCH("KYC cost per checked user",Assumptions!$B:$B,0),MATCH(B86,Assumptions!$C$3:$E$3,0))</f>
      </c>
      <c r="H86">
        <f>D86*INDEX(Assumptions!$C:$E,MATCH("Support cost per active user",Assumptions!$B:$B,0),MATCH(B86,Assumptions!$C$3:$E$3,0))</f>
      </c>
      <c r="I86">
        <f>INDEX(Assumptions!$C:$E,MATCH("Monthly product/dev/ops cost",Assumptions!$B:$B,0),MATCH(B86,Assumptions!$C$3:$E$3,0))</f>
      </c>
      <c r="J86">
        <f>INDEX(Assumptions!$C:$E,MATCH("Monthly legal/compliance reserve",Assumptions!$B:$B,0),MATCH(B86,Assumptions!$C$3:$E$3,0))</f>
      </c>
      <c r="K86">
        <f>INDEX(Assumptions!$C:$E,MATCH("Monthly oracle/data cost",Assumptions!$B:$B,0),MATCH(B86,Assumptions!$C$3:$E$3,0))</f>
      </c>
      <c r="L86">
        <f>INDEX(Assumptions!$C:$E,MATCH("Monthly infrastructure cost",Assumptions!$B:$B,0),MATCH(B86,Assumptions!$C$3:$E$3,0))</f>
      </c>
      <c r="M86">
        <f>INDEX(Assumptions!$C:$E,MATCH("Monthly audit/security reserve",Assumptions!$B:$B,0),MATCH(B86,Assumptions!$C$3:$E$3,0))</f>
      </c>
      <c r="N86">
        <f>INDEX(Assumptions!$C:$E,MATCH("Monthly jackpot top-up reserve",Assumptions!$B:$B,0),MATCH(B86,Assumptions!$C$3:$E$3,0))</f>
      </c>
      <c r="O86">
        <f>SUM(E86)</f>
      </c>
    </row>
    <row r="87">
      <c r="A87">
        <v>14</v>
      </c>
      <c r="B87" t="inlineStr">
        <is>
          <t>Upside</t>
        </is>
      </c>
      <c r="C87">
        <f>SUMIFS(Funnel!$H:$H,Funnel!$A:$A,A87,Funnel!$B:$B,B87)</f>
      </c>
      <c r="D87">
        <f>SUMIFS(Funnel!$J:$J,Funnel!$A:$A,A87,Funnel!$B:$B,B87)</f>
      </c>
      <c r="E87">
        <f>C87*INDEX(Assumptions!$C:$E,MATCH("Partner share of first buyers",Assumptions!$B:$B,0),MATCH(B87,Assumptions!$C$3:$E$3,0))*INDEX(Assumptions!$C:$E,MATCH("CPA per qualified player",Assumptions!$B:$B,0),MATCH(B87,Assumptions!$C$3:$E$3,0))*INDEX(Assumptions!$C:$E,MATCH("CPA approved rate",Assumptions!$B:$B,0),MATCH(B87,Assumptions!$C$3:$E$3,0))</f>
      </c>
      <c r="F87">
        <f>INDEX(Assumptions!$C:$E,MATCH("Monthly marketing fixed budget",Assumptions!$B:$B,0),MATCH(B87,Assumptions!$C$3:$E$3,0))</f>
      </c>
      <c r="G87">
        <f>D87*INDEX(Assumptions!$C:$E,MATCH("KYC required rate",Assumptions!$B:$B,0),MATCH(B87,Assumptions!$C$3:$E$3,0))*INDEX(Assumptions!$C:$E,MATCH("KYC cost per checked user",Assumptions!$B:$B,0),MATCH(B87,Assumptions!$C$3:$E$3,0))</f>
      </c>
      <c r="H87">
        <f>D87*INDEX(Assumptions!$C:$E,MATCH("Support cost per active user",Assumptions!$B:$B,0),MATCH(B87,Assumptions!$C$3:$E$3,0))</f>
      </c>
      <c r="I87">
        <f>INDEX(Assumptions!$C:$E,MATCH("Monthly product/dev/ops cost",Assumptions!$B:$B,0),MATCH(B87,Assumptions!$C$3:$E$3,0))</f>
      </c>
      <c r="J87">
        <f>INDEX(Assumptions!$C:$E,MATCH("Monthly legal/compliance reserve",Assumptions!$B:$B,0),MATCH(B87,Assumptions!$C$3:$E$3,0))</f>
      </c>
      <c r="K87">
        <f>INDEX(Assumptions!$C:$E,MATCH("Monthly oracle/data cost",Assumptions!$B:$B,0),MATCH(B87,Assumptions!$C$3:$E$3,0))</f>
      </c>
      <c r="L87">
        <f>INDEX(Assumptions!$C:$E,MATCH("Monthly infrastructure cost",Assumptions!$B:$B,0),MATCH(B87,Assumptions!$C$3:$E$3,0))</f>
      </c>
      <c r="M87">
        <f>INDEX(Assumptions!$C:$E,MATCH("Monthly audit/security reserve",Assumptions!$B:$B,0),MATCH(B87,Assumptions!$C$3:$E$3,0))</f>
      </c>
      <c r="N87">
        <f>INDEX(Assumptions!$C:$E,MATCH("Monthly jackpot top-up reserve",Assumptions!$B:$B,0),MATCH(B87,Assumptions!$C$3:$E$3,0))</f>
      </c>
      <c r="O87">
        <f>SUM(E87)</f>
      </c>
    </row>
    <row r="88">
      <c r="A88">
        <v>15</v>
      </c>
      <c r="B88" t="inlineStr">
        <is>
          <t>Upside</t>
        </is>
      </c>
      <c r="C88">
        <f>SUMIFS(Funnel!$H:$H,Funnel!$A:$A,A88,Funnel!$B:$B,B88)</f>
      </c>
      <c r="D88">
        <f>SUMIFS(Funnel!$J:$J,Funnel!$A:$A,A88,Funnel!$B:$B,B88)</f>
      </c>
      <c r="E88">
        <f>C88*INDEX(Assumptions!$C:$E,MATCH("Partner share of first buyers",Assumptions!$B:$B,0),MATCH(B88,Assumptions!$C$3:$E$3,0))*INDEX(Assumptions!$C:$E,MATCH("CPA per qualified player",Assumptions!$B:$B,0),MATCH(B88,Assumptions!$C$3:$E$3,0))*INDEX(Assumptions!$C:$E,MATCH("CPA approved rate",Assumptions!$B:$B,0),MATCH(B88,Assumptions!$C$3:$E$3,0))</f>
      </c>
      <c r="F88">
        <f>INDEX(Assumptions!$C:$E,MATCH("Monthly marketing fixed budget",Assumptions!$B:$B,0),MATCH(B88,Assumptions!$C$3:$E$3,0))</f>
      </c>
      <c r="G88">
        <f>D88*INDEX(Assumptions!$C:$E,MATCH("KYC required rate",Assumptions!$B:$B,0),MATCH(B88,Assumptions!$C$3:$E$3,0))*INDEX(Assumptions!$C:$E,MATCH("KYC cost per checked user",Assumptions!$B:$B,0),MATCH(B88,Assumptions!$C$3:$E$3,0))</f>
      </c>
      <c r="H88">
        <f>D88*INDEX(Assumptions!$C:$E,MATCH("Support cost per active user",Assumptions!$B:$B,0),MATCH(B88,Assumptions!$C$3:$E$3,0))</f>
      </c>
      <c r="I88">
        <f>INDEX(Assumptions!$C:$E,MATCH("Monthly product/dev/ops cost",Assumptions!$B:$B,0),MATCH(B88,Assumptions!$C$3:$E$3,0))</f>
      </c>
      <c r="J88">
        <f>INDEX(Assumptions!$C:$E,MATCH("Monthly legal/compliance reserve",Assumptions!$B:$B,0),MATCH(B88,Assumptions!$C$3:$E$3,0))</f>
      </c>
      <c r="K88">
        <f>INDEX(Assumptions!$C:$E,MATCH("Monthly oracle/data cost",Assumptions!$B:$B,0),MATCH(B88,Assumptions!$C$3:$E$3,0))</f>
      </c>
      <c r="L88">
        <f>INDEX(Assumptions!$C:$E,MATCH("Monthly infrastructure cost",Assumptions!$B:$B,0),MATCH(B88,Assumptions!$C$3:$E$3,0))</f>
      </c>
      <c r="M88">
        <f>INDEX(Assumptions!$C:$E,MATCH("Monthly audit/security reserve",Assumptions!$B:$B,0),MATCH(B88,Assumptions!$C$3:$E$3,0))</f>
      </c>
      <c r="N88">
        <f>INDEX(Assumptions!$C:$E,MATCH("Monthly jackpot top-up reserve",Assumptions!$B:$B,0),MATCH(B88,Assumptions!$C$3:$E$3,0))</f>
      </c>
      <c r="O88">
        <f>SUM(E88)</f>
      </c>
    </row>
    <row r="89">
      <c r="A89">
        <v>16</v>
      </c>
      <c r="B89" t="inlineStr">
        <is>
          <t>Upside</t>
        </is>
      </c>
      <c r="C89">
        <f>SUMIFS(Funnel!$H:$H,Funnel!$A:$A,A89,Funnel!$B:$B,B89)</f>
      </c>
      <c r="D89">
        <f>SUMIFS(Funnel!$J:$J,Funnel!$A:$A,A89,Funnel!$B:$B,B89)</f>
      </c>
      <c r="E89">
        <f>C89*INDEX(Assumptions!$C:$E,MATCH("Partner share of first buyers",Assumptions!$B:$B,0),MATCH(B89,Assumptions!$C$3:$E$3,0))*INDEX(Assumptions!$C:$E,MATCH("CPA per qualified player",Assumptions!$B:$B,0),MATCH(B89,Assumptions!$C$3:$E$3,0))*INDEX(Assumptions!$C:$E,MATCH("CPA approved rate",Assumptions!$B:$B,0),MATCH(B89,Assumptions!$C$3:$E$3,0))</f>
      </c>
      <c r="F89">
        <f>INDEX(Assumptions!$C:$E,MATCH("Monthly marketing fixed budget",Assumptions!$B:$B,0),MATCH(B89,Assumptions!$C$3:$E$3,0))</f>
      </c>
      <c r="G89">
        <f>D89*INDEX(Assumptions!$C:$E,MATCH("KYC required rate",Assumptions!$B:$B,0),MATCH(B89,Assumptions!$C$3:$E$3,0))*INDEX(Assumptions!$C:$E,MATCH("KYC cost per checked user",Assumptions!$B:$B,0),MATCH(B89,Assumptions!$C$3:$E$3,0))</f>
      </c>
      <c r="H89">
        <f>D89*INDEX(Assumptions!$C:$E,MATCH("Support cost per active user",Assumptions!$B:$B,0),MATCH(B89,Assumptions!$C$3:$E$3,0))</f>
      </c>
      <c r="I89">
        <f>INDEX(Assumptions!$C:$E,MATCH("Monthly product/dev/ops cost",Assumptions!$B:$B,0),MATCH(B89,Assumptions!$C$3:$E$3,0))</f>
      </c>
      <c r="J89">
        <f>INDEX(Assumptions!$C:$E,MATCH("Monthly legal/compliance reserve",Assumptions!$B:$B,0),MATCH(B89,Assumptions!$C$3:$E$3,0))</f>
      </c>
      <c r="K89">
        <f>INDEX(Assumptions!$C:$E,MATCH("Monthly oracle/data cost",Assumptions!$B:$B,0),MATCH(B89,Assumptions!$C$3:$E$3,0))</f>
      </c>
      <c r="L89">
        <f>INDEX(Assumptions!$C:$E,MATCH("Monthly infrastructure cost",Assumptions!$B:$B,0),MATCH(B89,Assumptions!$C$3:$E$3,0))</f>
      </c>
      <c r="M89">
        <f>INDEX(Assumptions!$C:$E,MATCH("Monthly audit/security reserve",Assumptions!$B:$B,0),MATCH(B89,Assumptions!$C$3:$E$3,0))</f>
      </c>
      <c r="N89">
        <f>INDEX(Assumptions!$C:$E,MATCH("Monthly jackpot top-up reserve",Assumptions!$B:$B,0),MATCH(B89,Assumptions!$C$3:$E$3,0))</f>
      </c>
      <c r="O89">
        <f>SUM(E89)</f>
      </c>
    </row>
    <row r="90">
      <c r="A90">
        <v>17</v>
      </c>
      <c r="B90" t="inlineStr">
        <is>
          <t>Upside</t>
        </is>
      </c>
      <c r="C90">
        <f>SUMIFS(Funnel!$H:$H,Funnel!$A:$A,A90,Funnel!$B:$B,B90)</f>
      </c>
      <c r="D90">
        <f>SUMIFS(Funnel!$J:$J,Funnel!$A:$A,A90,Funnel!$B:$B,B90)</f>
      </c>
      <c r="E90">
        <f>C90*INDEX(Assumptions!$C:$E,MATCH("Partner share of first buyers",Assumptions!$B:$B,0),MATCH(B90,Assumptions!$C$3:$E$3,0))*INDEX(Assumptions!$C:$E,MATCH("CPA per qualified player",Assumptions!$B:$B,0),MATCH(B90,Assumptions!$C$3:$E$3,0))*INDEX(Assumptions!$C:$E,MATCH("CPA approved rate",Assumptions!$B:$B,0),MATCH(B90,Assumptions!$C$3:$E$3,0))</f>
      </c>
      <c r="F90">
        <f>INDEX(Assumptions!$C:$E,MATCH("Monthly marketing fixed budget",Assumptions!$B:$B,0),MATCH(B90,Assumptions!$C$3:$E$3,0))</f>
      </c>
      <c r="G90">
        <f>D90*INDEX(Assumptions!$C:$E,MATCH("KYC required rate",Assumptions!$B:$B,0),MATCH(B90,Assumptions!$C$3:$E$3,0))*INDEX(Assumptions!$C:$E,MATCH("KYC cost per checked user",Assumptions!$B:$B,0),MATCH(B90,Assumptions!$C$3:$E$3,0))</f>
      </c>
      <c r="H90">
        <f>D90*INDEX(Assumptions!$C:$E,MATCH("Support cost per active user",Assumptions!$B:$B,0),MATCH(B90,Assumptions!$C$3:$E$3,0))</f>
      </c>
      <c r="I90">
        <f>INDEX(Assumptions!$C:$E,MATCH("Monthly product/dev/ops cost",Assumptions!$B:$B,0),MATCH(B90,Assumptions!$C$3:$E$3,0))</f>
      </c>
      <c r="J90">
        <f>INDEX(Assumptions!$C:$E,MATCH("Monthly legal/compliance reserve",Assumptions!$B:$B,0),MATCH(B90,Assumptions!$C$3:$E$3,0))</f>
      </c>
      <c r="K90">
        <f>INDEX(Assumptions!$C:$E,MATCH("Monthly oracle/data cost",Assumptions!$B:$B,0),MATCH(B90,Assumptions!$C$3:$E$3,0))</f>
      </c>
      <c r="L90">
        <f>INDEX(Assumptions!$C:$E,MATCH("Monthly infrastructure cost",Assumptions!$B:$B,0),MATCH(B90,Assumptions!$C$3:$E$3,0))</f>
      </c>
      <c r="M90">
        <f>INDEX(Assumptions!$C:$E,MATCH("Monthly audit/security reserve",Assumptions!$B:$B,0),MATCH(B90,Assumptions!$C$3:$E$3,0))</f>
      </c>
      <c r="N90">
        <f>INDEX(Assumptions!$C:$E,MATCH("Monthly jackpot top-up reserve",Assumptions!$B:$B,0),MATCH(B90,Assumptions!$C$3:$E$3,0))</f>
      </c>
      <c r="O90">
        <f>SUM(E90)</f>
      </c>
    </row>
    <row r="91">
      <c r="A91">
        <v>18</v>
      </c>
      <c r="B91" t="inlineStr">
        <is>
          <t>Upside</t>
        </is>
      </c>
      <c r="C91">
        <f>SUMIFS(Funnel!$H:$H,Funnel!$A:$A,A91,Funnel!$B:$B,B91)</f>
      </c>
      <c r="D91">
        <f>SUMIFS(Funnel!$J:$J,Funnel!$A:$A,A91,Funnel!$B:$B,B91)</f>
      </c>
      <c r="E91">
        <f>C91*INDEX(Assumptions!$C:$E,MATCH("Partner share of first buyers",Assumptions!$B:$B,0),MATCH(B91,Assumptions!$C$3:$E$3,0))*INDEX(Assumptions!$C:$E,MATCH("CPA per qualified player",Assumptions!$B:$B,0),MATCH(B91,Assumptions!$C$3:$E$3,0))*INDEX(Assumptions!$C:$E,MATCH("CPA approved rate",Assumptions!$B:$B,0),MATCH(B91,Assumptions!$C$3:$E$3,0))</f>
      </c>
      <c r="F91">
        <f>INDEX(Assumptions!$C:$E,MATCH("Monthly marketing fixed budget",Assumptions!$B:$B,0),MATCH(B91,Assumptions!$C$3:$E$3,0))</f>
      </c>
      <c r="G91">
        <f>D91*INDEX(Assumptions!$C:$E,MATCH("KYC required rate",Assumptions!$B:$B,0),MATCH(B91,Assumptions!$C$3:$E$3,0))*INDEX(Assumptions!$C:$E,MATCH("KYC cost per checked user",Assumptions!$B:$B,0),MATCH(B91,Assumptions!$C$3:$E$3,0))</f>
      </c>
      <c r="H91">
        <f>D91*INDEX(Assumptions!$C:$E,MATCH("Support cost per active user",Assumptions!$B:$B,0),MATCH(B91,Assumptions!$C$3:$E$3,0))</f>
      </c>
      <c r="I91">
        <f>INDEX(Assumptions!$C:$E,MATCH("Monthly product/dev/ops cost",Assumptions!$B:$B,0),MATCH(B91,Assumptions!$C$3:$E$3,0))</f>
      </c>
      <c r="J91">
        <f>INDEX(Assumptions!$C:$E,MATCH("Monthly legal/compliance reserve",Assumptions!$B:$B,0),MATCH(B91,Assumptions!$C$3:$E$3,0))</f>
      </c>
      <c r="K91">
        <f>INDEX(Assumptions!$C:$E,MATCH("Monthly oracle/data cost",Assumptions!$B:$B,0),MATCH(B91,Assumptions!$C$3:$E$3,0))</f>
      </c>
      <c r="L91">
        <f>INDEX(Assumptions!$C:$E,MATCH("Monthly infrastructure cost",Assumptions!$B:$B,0),MATCH(B91,Assumptions!$C$3:$E$3,0))</f>
      </c>
      <c r="M91">
        <f>INDEX(Assumptions!$C:$E,MATCH("Monthly audit/security reserve",Assumptions!$B:$B,0),MATCH(B91,Assumptions!$C$3:$E$3,0))</f>
      </c>
      <c r="N91">
        <f>INDEX(Assumptions!$C:$E,MATCH("Monthly jackpot top-up reserve",Assumptions!$B:$B,0),MATCH(B91,Assumptions!$C$3:$E$3,0))</f>
      </c>
      <c r="O91">
        <f>SUM(E91)</f>
      </c>
    </row>
    <row r="92">
      <c r="A92">
        <v>19</v>
      </c>
      <c r="B92" t="inlineStr">
        <is>
          <t>Upside</t>
        </is>
      </c>
      <c r="C92">
        <f>SUMIFS(Funnel!$H:$H,Funnel!$A:$A,A92,Funnel!$B:$B,B92)</f>
      </c>
      <c r="D92">
        <f>SUMIFS(Funnel!$J:$J,Funnel!$A:$A,A92,Funnel!$B:$B,B92)</f>
      </c>
      <c r="E92">
        <f>C92*INDEX(Assumptions!$C:$E,MATCH("Partner share of first buyers",Assumptions!$B:$B,0),MATCH(B92,Assumptions!$C$3:$E$3,0))*INDEX(Assumptions!$C:$E,MATCH("CPA per qualified player",Assumptions!$B:$B,0),MATCH(B92,Assumptions!$C$3:$E$3,0))*INDEX(Assumptions!$C:$E,MATCH("CPA approved rate",Assumptions!$B:$B,0),MATCH(B92,Assumptions!$C$3:$E$3,0))</f>
      </c>
      <c r="F92">
        <f>INDEX(Assumptions!$C:$E,MATCH("Monthly marketing fixed budget",Assumptions!$B:$B,0),MATCH(B92,Assumptions!$C$3:$E$3,0))</f>
      </c>
      <c r="G92">
        <f>D92*INDEX(Assumptions!$C:$E,MATCH("KYC required rate",Assumptions!$B:$B,0),MATCH(B92,Assumptions!$C$3:$E$3,0))*INDEX(Assumptions!$C:$E,MATCH("KYC cost per checked user",Assumptions!$B:$B,0),MATCH(B92,Assumptions!$C$3:$E$3,0))</f>
      </c>
      <c r="H92">
        <f>D92*INDEX(Assumptions!$C:$E,MATCH("Support cost per active user",Assumptions!$B:$B,0),MATCH(B92,Assumptions!$C$3:$E$3,0))</f>
      </c>
      <c r="I92">
        <f>INDEX(Assumptions!$C:$E,MATCH("Monthly product/dev/ops cost",Assumptions!$B:$B,0),MATCH(B92,Assumptions!$C$3:$E$3,0))</f>
      </c>
      <c r="J92">
        <f>INDEX(Assumptions!$C:$E,MATCH("Monthly legal/compliance reserve",Assumptions!$B:$B,0),MATCH(B92,Assumptions!$C$3:$E$3,0))</f>
      </c>
      <c r="K92">
        <f>INDEX(Assumptions!$C:$E,MATCH("Monthly oracle/data cost",Assumptions!$B:$B,0),MATCH(B92,Assumptions!$C$3:$E$3,0))</f>
      </c>
      <c r="L92">
        <f>INDEX(Assumptions!$C:$E,MATCH("Monthly infrastructure cost",Assumptions!$B:$B,0),MATCH(B92,Assumptions!$C$3:$E$3,0))</f>
      </c>
      <c r="M92">
        <f>INDEX(Assumptions!$C:$E,MATCH("Monthly audit/security reserve",Assumptions!$B:$B,0),MATCH(B92,Assumptions!$C$3:$E$3,0))</f>
      </c>
      <c r="N92">
        <f>INDEX(Assumptions!$C:$E,MATCH("Monthly jackpot top-up reserve",Assumptions!$B:$B,0),MATCH(B92,Assumptions!$C$3:$E$3,0))</f>
      </c>
      <c r="O92">
        <f>SUM(E92)</f>
      </c>
    </row>
    <row r="93">
      <c r="A93">
        <v>20</v>
      </c>
      <c r="B93" t="inlineStr">
        <is>
          <t>Upside</t>
        </is>
      </c>
      <c r="C93">
        <f>SUMIFS(Funnel!$H:$H,Funnel!$A:$A,A93,Funnel!$B:$B,B93)</f>
      </c>
      <c r="D93">
        <f>SUMIFS(Funnel!$J:$J,Funnel!$A:$A,A93,Funnel!$B:$B,B93)</f>
      </c>
      <c r="E93">
        <f>C93*INDEX(Assumptions!$C:$E,MATCH("Partner share of first buyers",Assumptions!$B:$B,0),MATCH(B93,Assumptions!$C$3:$E$3,0))*INDEX(Assumptions!$C:$E,MATCH("CPA per qualified player",Assumptions!$B:$B,0),MATCH(B93,Assumptions!$C$3:$E$3,0))*INDEX(Assumptions!$C:$E,MATCH("CPA approved rate",Assumptions!$B:$B,0),MATCH(B93,Assumptions!$C$3:$E$3,0))</f>
      </c>
      <c r="F93">
        <f>INDEX(Assumptions!$C:$E,MATCH("Monthly marketing fixed budget",Assumptions!$B:$B,0),MATCH(B93,Assumptions!$C$3:$E$3,0))</f>
      </c>
      <c r="G93">
        <f>D93*INDEX(Assumptions!$C:$E,MATCH("KYC required rate",Assumptions!$B:$B,0),MATCH(B93,Assumptions!$C$3:$E$3,0))*INDEX(Assumptions!$C:$E,MATCH("KYC cost per checked user",Assumptions!$B:$B,0),MATCH(B93,Assumptions!$C$3:$E$3,0))</f>
      </c>
      <c r="H93">
        <f>D93*INDEX(Assumptions!$C:$E,MATCH("Support cost per active user",Assumptions!$B:$B,0),MATCH(B93,Assumptions!$C$3:$E$3,0))</f>
      </c>
      <c r="I93">
        <f>INDEX(Assumptions!$C:$E,MATCH("Monthly product/dev/ops cost",Assumptions!$B:$B,0),MATCH(B93,Assumptions!$C$3:$E$3,0))</f>
      </c>
      <c r="J93">
        <f>INDEX(Assumptions!$C:$E,MATCH("Monthly legal/compliance reserve",Assumptions!$B:$B,0),MATCH(B93,Assumptions!$C$3:$E$3,0))</f>
      </c>
      <c r="K93">
        <f>INDEX(Assumptions!$C:$E,MATCH("Monthly oracle/data cost",Assumptions!$B:$B,0),MATCH(B93,Assumptions!$C$3:$E$3,0))</f>
      </c>
      <c r="L93">
        <f>INDEX(Assumptions!$C:$E,MATCH("Monthly infrastructure cost",Assumptions!$B:$B,0),MATCH(B93,Assumptions!$C$3:$E$3,0))</f>
      </c>
      <c r="M93">
        <f>INDEX(Assumptions!$C:$E,MATCH("Monthly audit/security reserve",Assumptions!$B:$B,0),MATCH(B93,Assumptions!$C$3:$E$3,0))</f>
      </c>
      <c r="N93">
        <f>INDEX(Assumptions!$C:$E,MATCH("Monthly jackpot top-up reserve",Assumptions!$B:$B,0),MATCH(B93,Assumptions!$C$3:$E$3,0))</f>
      </c>
      <c r="O93">
        <f>SUM(E93)</f>
      </c>
    </row>
    <row r="94">
      <c r="A94">
        <v>21</v>
      </c>
      <c r="B94" t="inlineStr">
        <is>
          <t>Upside</t>
        </is>
      </c>
      <c r="C94">
        <f>SUMIFS(Funnel!$H:$H,Funnel!$A:$A,A94,Funnel!$B:$B,B94)</f>
      </c>
      <c r="D94">
        <f>SUMIFS(Funnel!$J:$J,Funnel!$A:$A,A94,Funnel!$B:$B,B94)</f>
      </c>
      <c r="E94">
        <f>C94*INDEX(Assumptions!$C:$E,MATCH("Partner share of first buyers",Assumptions!$B:$B,0),MATCH(B94,Assumptions!$C$3:$E$3,0))*INDEX(Assumptions!$C:$E,MATCH("CPA per qualified player",Assumptions!$B:$B,0),MATCH(B94,Assumptions!$C$3:$E$3,0))*INDEX(Assumptions!$C:$E,MATCH("CPA approved rate",Assumptions!$B:$B,0),MATCH(B94,Assumptions!$C$3:$E$3,0))</f>
      </c>
      <c r="F94">
        <f>INDEX(Assumptions!$C:$E,MATCH("Monthly marketing fixed budget",Assumptions!$B:$B,0),MATCH(B94,Assumptions!$C$3:$E$3,0))</f>
      </c>
      <c r="G94">
        <f>D94*INDEX(Assumptions!$C:$E,MATCH("KYC required rate",Assumptions!$B:$B,0),MATCH(B94,Assumptions!$C$3:$E$3,0))*INDEX(Assumptions!$C:$E,MATCH("KYC cost per checked user",Assumptions!$B:$B,0),MATCH(B94,Assumptions!$C$3:$E$3,0))</f>
      </c>
      <c r="H94">
        <f>D94*INDEX(Assumptions!$C:$E,MATCH("Support cost per active user",Assumptions!$B:$B,0),MATCH(B94,Assumptions!$C$3:$E$3,0))</f>
      </c>
      <c r="I94">
        <f>INDEX(Assumptions!$C:$E,MATCH("Monthly product/dev/ops cost",Assumptions!$B:$B,0),MATCH(B94,Assumptions!$C$3:$E$3,0))</f>
      </c>
      <c r="J94">
        <f>INDEX(Assumptions!$C:$E,MATCH("Monthly legal/compliance reserve",Assumptions!$B:$B,0),MATCH(B94,Assumptions!$C$3:$E$3,0))</f>
      </c>
      <c r="K94">
        <f>INDEX(Assumptions!$C:$E,MATCH("Monthly oracle/data cost",Assumptions!$B:$B,0),MATCH(B94,Assumptions!$C$3:$E$3,0))</f>
      </c>
      <c r="L94">
        <f>INDEX(Assumptions!$C:$E,MATCH("Monthly infrastructure cost",Assumptions!$B:$B,0),MATCH(B94,Assumptions!$C$3:$E$3,0))</f>
      </c>
      <c r="M94">
        <f>INDEX(Assumptions!$C:$E,MATCH("Monthly audit/security reserve",Assumptions!$B:$B,0),MATCH(B94,Assumptions!$C$3:$E$3,0))</f>
      </c>
      <c r="N94">
        <f>INDEX(Assumptions!$C:$E,MATCH("Monthly jackpot top-up reserve",Assumptions!$B:$B,0),MATCH(B94,Assumptions!$C$3:$E$3,0))</f>
      </c>
      <c r="O94">
        <f>SUM(E94)</f>
      </c>
    </row>
    <row r="95">
      <c r="A95">
        <v>22</v>
      </c>
      <c r="B95" t="inlineStr">
        <is>
          <t>Upside</t>
        </is>
      </c>
      <c r="C95">
        <f>SUMIFS(Funnel!$H:$H,Funnel!$A:$A,A95,Funnel!$B:$B,B95)</f>
      </c>
      <c r="D95">
        <f>SUMIFS(Funnel!$J:$J,Funnel!$A:$A,A95,Funnel!$B:$B,B95)</f>
      </c>
      <c r="E95">
        <f>C95*INDEX(Assumptions!$C:$E,MATCH("Partner share of first buyers",Assumptions!$B:$B,0),MATCH(B95,Assumptions!$C$3:$E$3,0))*INDEX(Assumptions!$C:$E,MATCH("CPA per qualified player",Assumptions!$B:$B,0),MATCH(B95,Assumptions!$C$3:$E$3,0))*INDEX(Assumptions!$C:$E,MATCH("CPA approved rate",Assumptions!$B:$B,0),MATCH(B95,Assumptions!$C$3:$E$3,0))</f>
      </c>
      <c r="F95">
        <f>INDEX(Assumptions!$C:$E,MATCH("Monthly marketing fixed budget",Assumptions!$B:$B,0),MATCH(B95,Assumptions!$C$3:$E$3,0))</f>
      </c>
      <c r="G95">
        <f>D95*INDEX(Assumptions!$C:$E,MATCH("KYC required rate",Assumptions!$B:$B,0),MATCH(B95,Assumptions!$C$3:$E$3,0))*INDEX(Assumptions!$C:$E,MATCH("KYC cost per checked user",Assumptions!$B:$B,0),MATCH(B95,Assumptions!$C$3:$E$3,0))</f>
      </c>
      <c r="H95">
        <f>D95*INDEX(Assumptions!$C:$E,MATCH("Support cost per active user",Assumptions!$B:$B,0),MATCH(B95,Assumptions!$C$3:$E$3,0))</f>
      </c>
      <c r="I95">
        <f>INDEX(Assumptions!$C:$E,MATCH("Monthly product/dev/ops cost",Assumptions!$B:$B,0),MATCH(B95,Assumptions!$C$3:$E$3,0))</f>
      </c>
      <c r="J95">
        <f>INDEX(Assumptions!$C:$E,MATCH("Monthly legal/compliance reserve",Assumptions!$B:$B,0),MATCH(B95,Assumptions!$C$3:$E$3,0))</f>
      </c>
      <c r="K95">
        <f>INDEX(Assumptions!$C:$E,MATCH("Monthly oracle/data cost",Assumptions!$B:$B,0),MATCH(B95,Assumptions!$C$3:$E$3,0))</f>
      </c>
      <c r="L95">
        <f>INDEX(Assumptions!$C:$E,MATCH("Monthly infrastructure cost",Assumptions!$B:$B,0),MATCH(B95,Assumptions!$C$3:$E$3,0))</f>
      </c>
      <c r="M95">
        <f>INDEX(Assumptions!$C:$E,MATCH("Monthly audit/security reserve",Assumptions!$B:$B,0),MATCH(B95,Assumptions!$C$3:$E$3,0))</f>
      </c>
      <c r="N95">
        <f>INDEX(Assumptions!$C:$E,MATCH("Monthly jackpot top-up reserve",Assumptions!$B:$B,0),MATCH(B95,Assumptions!$C$3:$E$3,0))</f>
      </c>
      <c r="O95">
        <f>SUM(E95)</f>
      </c>
    </row>
    <row r="96">
      <c r="A96">
        <v>23</v>
      </c>
      <c r="B96" t="inlineStr">
        <is>
          <t>Upside</t>
        </is>
      </c>
      <c r="C96">
        <f>SUMIFS(Funnel!$H:$H,Funnel!$A:$A,A96,Funnel!$B:$B,B96)</f>
      </c>
      <c r="D96">
        <f>SUMIFS(Funnel!$J:$J,Funnel!$A:$A,A96,Funnel!$B:$B,B96)</f>
      </c>
      <c r="E96">
        <f>C96*INDEX(Assumptions!$C:$E,MATCH("Partner share of first buyers",Assumptions!$B:$B,0),MATCH(B96,Assumptions!$C$3:$E$3,0))*INDEX(Assumptions!$C:$E,MATCH("CPA per qualified player",Assumptions!$B:$B,0),MATCH(B96,Assumptions!$C$3:$E$3,0))*INDEX(Assumptions!$C:$E,MATCH("CPA approved rate",Assumptions!$B:$B,0),MATCH(B96,Assumptions!$C$3:$E$3,0))</f>
      </c>
      <c r="F96">
        <f>INDEX(Assumptions!$C:$E,MATCH("Monthly marketing fixed budget",Assumptions!$B:$B,0),MATCH(B96,Assumptions!$C$3:$E$3,0))</f>
      </c>
      <c r="G96">
        <f>D96*INDEX(Assumptions!$C:$E,MATCH("KYC required rate",Assumptions!$B:$B,0),MATCH(B96,Assumptions!$C$3:$E$3,0))*INDEX(Assumptions!$C:$E,MATCH("KYC cost per checked user",Assumptions!$B:$B,0),MATCH(B96,Assumptions!$C$3:$E$3,0))</f>
      </c>
      <c r="H96">
        <f>D96*INDEX(Assumptions!$C:$E,MATCH("Support cost per active user",Assumptions!$B:$B,0),MATCH(B96,Assumptions!$C$3:$E$3,0))</f>
      </c>
      <c r="I96">
        <f>INDEX(Assumptions!$C:$E,MATCH("Monthly product/dev/ops cost",Assumptions!$B:$B,0),MATCH(B96,Assumptions!$C$3:$E$3,0))</f>
      </c>
      <c r="J96">
        <f>INDEX(Assumptions!$C:$E,MATCH("Monthly legal/compliance reserve",Assumptions!$B:$B,0),MATCH(B96,Assumptions!$C$3:$E$3,0))</f>
      </c>
      <c r="K96">
        <f>INDEX(Assumptions!$C:$E,MATCH("Monthly oracle/data cost",Assumptions!$B:$B,0),MATCH(B96,Assumptions!$C$3:$E$3,0))</f>
      </c>
      <c r="L96">
        <f>INDEX(Assumptions!$C:$E,MATCH("Monthly infrastructure cost",Assumptions!$B:$B,0),MATCH(B96,Assumptions!$C$3:$E$3,0))</f>
      </c>
      <c r="M96">
        <f>INDEX(Assumptions!$C:$E,MATCH("Monthly audit/security reserve",Assumptions!$B:$B,0),MATCH(B96,Assumptions!$C$3:$E$3,0))</f>
      </c>
      <c r="N96">
        <f>INDEX(Assumptions!$C:$E,MATCH("Monthly jackpot top-up reserve",Assumptions!$B:$B,0),MATCH(B96,Assumptions!$C$3:$E$3,0))</f>
      </c>
      <c r="O96">
        <f>SUM(E96)</f>
      </c>
    </row>
    <row r="97">
      <c r="A97">
        <v>24</v>
      </c>
      <c r="B97" t="inlineStr">
        <is>
          <t>Upside</t>
        </is>
      </c>
      <c r="C97">
        <f>SUMIFS(Funnel!$H:$H,Funnel!$A:$A,A97,Funnel!$B:$B,B97)</f>
      </c>
      <c r="D97">
        <f>SUMIFS(Funnel!$J:$J,Funnel!$A:$A,A97,Funnel!$B:$B,B97)</f>
      </c>
      <c r="E97">
        <f>C97*INDEX(Assumptions!$C:$E,MATCH("Partner share of first buyers",Assumptions!$B:$B,0),MATCH(B97,Assumptions!$C$3:$E$3,0))*INDEX(Assumptions!$C:$E,MATCH("CPA per qualified player",Assumptions!$B:$B,0),MATCH(B97,Assumptions!$C$3:$E$3,0))*INDEX(Assumptions!$C:$E,MATCH("CPA approved rate",Assumptions!$B:$B,0),MATCH(B97,Assumptions!$C$3:$E$3,0))</f>
      </c>
      <c r="F97">
        <f>INDEX(Assumptions!$C:$E,MATCH("Monthly marketing fixed budget",Assumptions!$B:$B,0),MATCH(B97,Assumptions!$C$3:$E$3,0))</f>
      </c>
      <c r="G97">
        <f>D97*INDEX(Assumptions!$C:$E,MATCH("KYC required rate",Assumptions!$B:$B,0),MATCH(B97,Assumptions!$C$3:$E$3,0))*INDEX(Assumptions!$C:$E,MATCH("KYC cost per checked user",Assumptions!$B:$B,0),MATCH(B97,Assumptions!$C$3:$E$3,0))</f>
      </c>
      <c r="H97">
        <f>D97*INDEX(Assumptions!$C:$E,MATCH("Support cost per active user",Assumptions!$B:$B,0),MATCH(B97,Assumptions!$C$3:$E$3,0))</f>
      </c>
      <c r="I97">
        <f>INDEX(Assumptions!$C:$E,MATCH("Monthly product/dev/ops cost",Assumptions!$B:$B,0),MATCH(B97,Assumptions!$C$3:$E$3,0))</f>
      </c>
      <c r="J97">
        <f>INDEX(Assumptions!$C:$E,MATCH("Monthly legal/compliance reserve",Assumptions!$B:$B,0),MATCH(B97,Assumptions!$C$3:$E$3,0))</f>
      </c>
      <c r="K97">
        <f>INDEX(Assumptions!$C:$E,MATCH("Monthly oracle/data cost",Assumptions!$B:$B,0),MATCH(B97,Assumptions!$C$3:$E$3,0))</f>
      </c>
      <c r="L97">
        <f>INDEX(Assumptions!$C:$E,MATCH("Monthly infrastructure cost",Assumptions!$B:$B,0),MATCH(B97,Assumptions!$C$3:$E$3,0))</f>
      </c>
      <c r="M97">
        <f>INDEX(Assumptions!$C:$E,MATCH("Monthly audit/security reserve",Assumptions!$B:$B,0),MATCH(B97,Assumptions!$C$3:$E$3,0))</f>
      </c>
      <c r="N97">
        <f>INDEX(Assumptions!$C:$E,MATCH("Monthly jackpot top-up reserve",Assumptions!$B:$B,0),MATCH(B97,Assumptions!$C$3:$E$3,0))</f>
      </c>
      <c r="O97">
        <f>SUM(E97)</f>
      </c>
    </row>
    <row r="98">
      <c r="A98">
        <v>25</v>
      </c>
      <c r="B98" t="inlineStr">
        <is>
          <t>Upside</t>
        </is>
      </c>
      <c r="C98">
        <f>SUMIFS(Funnel!$H:$H,Funnel!$A:$A,A98,Funnel!$B:$B,B98)</f>
      </c>
      <c r="D98">
        <f>SUMIFS(Funnel!$J:$J,Funnel!$A:$A,A98,Funnel!$B:$B,B98)</f>
      </c>
      <c r="E98">
        <f>C98*INDEX(Assumptions!$C:$E,MATCH("Partner share of first buyers",Assumptions!$B:$B,0),MATCH(B98,Assumptions!$C$3:$E$3,0))*INDEX(Assumptions!$C:$E,MATCH("CPA per qualified player",Assumptions!$B:$B,0),MATCH(B98,Assumptions!$C$3:$E$3,0))*INDEX(Assumptions!$C:$E,MATCH("CPA approved rate",Assumptions!$B:$B,0),MATCH(B98,Assumptions!$C$3:$E$3,0))</f>
      </c>
      <c r="F98">
        <f>INDEX(Assumptions!$C:$E,MATCH("Monthly marketing fixed budget",Assumptions!$B:$B,0),MATCH(B98,Assumptions!$C$3:$E$3,0))</f>
      </c>
      <c r="G98">
        <f>D98*INDEX(Assumptions!$C:$E,MATCH("KYC required rate",Assumptions!$B:$B,0),MATCH(B98,Assumptions!$C$3:$E$3,0))*INDEX(Assumptions!$C:$E,MATCH("KYC cost per checked user",Assumptions!$B:$B,0),MATCH(B98,Assumptions!$C$3:$E$3,0))</f>
      </c>
      <c r="H98">
        <f>D98*INDEX(Assumptions!$C:$E,MATCH("Support cost per active user",Assumptions!$B:$B,0),MATCH(B98,Assumptions!$C$3:$E$3,0))</f>
      </c>
      <c r="I98">
        <f>INDEX(Assumptions!$C:$E,MATCH("Monthly product/dev/ops cost",Assumptions!$B:$B,0),MATCH(B98,Assumptions!$C$3:$E$3,0))</f>
      </c>
      <c r="J98">
        <f>INDEX(Assumptions!$C:$E,MATCH("Monthly legal/compliance reserve",Assumptions!$B:$B,0),MATCH(B98,Assumptions!$C$3:$E$3,0))</f>
      </c>
      <c r="K98">
        <f>INDEX(Assumptions!$C:$E,MATCH("Monthly oracle/data cost",Assumptions!$B:$B,0),MATCH(B98,Assumptions!$C$3:$E$3,0))</f>
      </c>
      <c r="L98">
        <f>INDEX(Assumptions!$C:$E,MATCH("Monthly infrastructure cost",Assumptions!$B:$B,0),MATCH(B98,Assumptions!$C$3:$E$3,0))</f>
      </c>
      <c r="M98">
        <f>INDEX(Assumptions!$C:$E,MATCH("Monthly audit/security reserve",Assumptions!$B:$B,0),MATCH(B98,Assumptions!$C$3:$E$3,0))</f>
      </c>
      <c r="N98">
        <f>INDEX(Assumptions!$C:$E,MATCH("Monthly jackpot top-up reserve",Assumptions!$B:$B,0),MATCH(B98,Assumptions!$C$3:$E$3,0))</f>
      </c>
      <c r="O98">
        <f>SUM(E98)</f>
      </c>
    </row>
    <row r="99">
      <c r="A99">
        <v>26</v>
      </c>
      <c r="B99" t="inlineStr">
        <is>
          <t>Upside</t>
        </is>
      </c>
      <c r="C99">
        <f>SUMIFS(Funnel!$H:$H,Funnel!$A:$A,A99,Funnel!$B:$B,B99)</f>
      </c>
      <c r="D99">
        <f>SUMIFS(Funnel!$J:$J,Funnel!$A:$A,A99,Funnel!$B:$B,B99)</f>
      </c>
      <c r="E99">
        <f>C99*INDEX(Assumptions!$C:$E,MATCH("Partner share of first buyers",Assumptions!$B:$B,0),MATCH(B99,Assumptions!$C$3:$E$3,0))*INDEX(Assumptions!$C:$E,MATCH("CPA per qualified player",Assumptions!$B:$B,0),MATCH(B99,Assumptions!$C$3:$E$3,0))*INDEX(Assumptions!$C:$E,MATCH("CPA approved rate",Assumptions!$B:$B,0),MATCH(B99,Assumptions!$C$3:$E$3,0))</f>
      </c>
      <c r="F99">
        <f>INDEX(Assumptions!$C:$E,MATCH("Monthly marketing fixed budget",Assumptions!$B:$B,0),MATCH(B99,Assumptions!$C$3:$E$3,0))</f>
      </c>
      <c r="G99">
        <f>D99*INDEX(Assumptions!$C:$E,MATCH("KYC required rate",Assumptions!$B:$B,0),MATCH(B99,Assumptions!$C$3:$E$3,0))*INDEX(Assumptions!$C:$E,MATCH("KYC cost per checked user",Assumptions!$B:$B,0),MATCH(B99,Assumptions!$C$3:$E$3,0))</f>
      </c>
      <c r="H99">
        <f>D99*INDEX(Assumptions!$C:$E,MATCH("Support cost per active user",Assumptions!$B:$B,0),MATCH(B99,Assumptions!$C$3:$E$3,0))</f>
      </c>
      <c r="I99">
        <f>INDEX(Assumptions!$C:$E,MATCH("Monthly product/dev/ops cost",Assumptions!$B:$B,0),MATCH(B99,Assumptions!$C$3:$E$3,0))</f>
      </c>
      <c r="J99">
        <f>INDEX(Assumptions!$C:$E,MATCH("Monthly legal/compliance reserve",Assumptions!$B:$B,0),MATCH(B99,Assumptions!$C$3:$E$3,0))</f>
      </c>
      <c r="K99">
        <f>INDEX(Assumptions!$C:$E,MATCH("Monthly oracle/data cost",Assumptions!$B:$B,0),MATCH(B99,Assumptions!$C$3:$E$3,0))</f>
      </c>
      <c r="L99">
        <f>INDEX(Assumptions!$C:$E,MATCH("Monthly infrastructure cost",Assumptions!$B:$B,0),MATCH(B99,Assumptions!$C$3:$E$3,0))</f>
      </c>
      <c r="M99">
        <f>INDEX(Assumptions!$C:$E,MATCH("Monthly audit/security reserve",Assumptions!$B:$B,0),MATCH(B99,Assumptions!$C$3:$E$3,0))</f>
      </c>
      <c r="N99">
        <f>INDEX(Assumptions!$C:$E,MATCH("Monthly jackpot top-up reserve",Assumptions!$B:$B,0),MATCH(B99,Assumptions!$C$3:$E$3,0))</f>
      </c>
      <c r="O99">
        <f>SUM(E99)</f>
      </c>
    </row>
    <row r="100">
      <c r="A100">
        <v>27</v>
      </c>
      <c r="B100" t="inlineStr">
        <is>
          <t>Upside</t>
        </is>
      </c>
      <c r="C100">
        <f>SUMIFS(Funnel!$H:$H,Funnel!$A:$A,A100,Funnel!$B:$B,B100)</f>
      </c>
      <c r="D100">
        <f>SUMIFS(Funnel!$J:$J,Funnel!$A:$A,A100,Funnel!$B:$B,B100)</f>
      </c>
      <c r="E100">
        <f>C100*INDEX(Assumptions!$C:$E,MATCH("Partner share of first buyers",Assumptions!$B:$B,0),MATCH(B100,Assumptions!$C$3:$E$3,0))*INDEX(Assumptions!$C:$E,MATCH("CPA per qualified player",Assumptions!$B:$B,0),MATCH(B100,Assumptions!$C$3:$E$3,0))*INDEX(Assumptions!$C:$E,MATCH("CPA approved rate",Assumptions!$B:$B,0),MATCH(B100,Assumptions!$C$3:$E$3,0))</f>
      </c>
      <c r="F100">
        <f>INDEX(Assumptions!$C:$E,MATCH("Monthly marketing fixed budget",Assumptions!$B:$B,0),MATCH(B100,Assumptions!$C$3:$E$3,0))</f>
      </c>
      <c r="G100">
        <f>D100*INDEX(Assumptions!$C:$E,MATCH("KYC required rate",Assumptions!$B:$B,0),MATCH(B100,Assumptions!$C$3:$E$3,0))*INDEX(Assumptions!$C:$E,MATCH("KYC cost per checked user",Assumptions!$B:$B,0),MATCH(B100,Assumptions!$C$3:$E$3,0))</f>
      </c>
      <c r="H100">
        <f>D100*INDEX(Assumptions!$C:$E,MATCH("Support cost per active user",Assumptions!$B:$B,0),MATCH(B100,Assumptions!$C$3:$E$3,0))</f>
      </c>
      <c r="I100">
        <f>INDEX(Assumptions!$C:$E,MATCH("Monthly product/dev/ops cost",Assumptions!$B:$B,0),MATCH(B100,Assumptions!$C$3:$E$3,0))</f>
      </c>
      <c r="J100">
        <f>INDEX(Assumptions!$C:$E,MATCH("Monthly legal/compliance reserve",Assumptions!$B:$B,0),MATCH(B100,Assumptions!$C$3:$E$3,0))</f>
      </c>
      <c r="K100">
        <f>INDEX(Assumptions!$C:$E,MATCH("Monthly oracle/data cost",Assumptions!$B:$B,0),MATCH(B100,Assumptions!$C$3:$E$3,0))</f>
      </c>
      <c r="L100">
        <f>INDEX(Assumptions!$C:$E,MATCH("Monthly infrastructure cost",Assumptions!$B:$B,0),MATCH(B100,Assumptions!$C$3:$E$3,0))</f>
      </c>
      <c r="M100">
        <f>INDEX(Assumptions!$C:$E,MATCH("Monthly audit/security reserve",Assumptions!$B:$B,0),MATCH(B100,Assumptions!$C$3:$E$3,0))</f>
      </c>
      <c r="N100">
        <f>INDEX(Assumptions!$C:$E,MATCH("Monthly jackpot top-up reserve",Assumptions!$B:$B,0),MATCH(B100,Assumptions!$C$3:$E$3,0))</f>
      </c>
      <c r="O100">
        <f>SUM(E100)</f>
      </c>
    </row>
    <row r="101">
      <c r="A101">
        <v>28</v>
      </c>
      <c r="B101" t="inlineStr">
        <is>
          <t>Upside</t>
        </is>
      </c>
      <c r="C101">
        <f>SUMIFS(Funnel!$H:$H,Funnel!$A:$A,A101,Funnel!$B:$B,B101)</f>
      </c>
      <c r="D101">
        <f>SUMIFS(Funnel!$J:$J,Funnel!$A:$A,A101,Funnel!$B:$B,B101)</f>
      </c>
      <c r="E101">
        <f>C101*INDEX(Assumptions!$C:$E,MATCH("Partner share of first buyers",Assumptions!$B:$B,0),MATCH(B101,Assumptions!$C$3:$E$3,0))*INDEX(Assumptions!$C:$E,MATCH("CPA per qualified player",Assumptions!$B:$B,0),MATCH(B101,Assumptions!$C$3:$E$3,0))*INDEX(Assumptions!$C:$E,MATCH("CPA approved rate",Assumptions!$B:$B,0),MATCH(B101,Assumptions!$C$3:$E$3,0))</f>
      </c>
      <c r="F101">
        <f>INDEX(Assumptions!$C:$E,MATCH("Monthly marketing fixed budget",Assumptions!$B:$B,0),MATCH(B101,Assumptions!$C$3:$E$3,0))</f>
      </c>
      <c r="G101">
        <f>D101*INDEX(Assumptions!$C:$E,MATCH("KYC required rate",Assumptions!$B:$B,0),MATCH(B101,Assumptions!$C$3:$E$3,0))*INDEX(Assumptions!$C:$E,MATCH("KYC cost per checked user",Assumptions!$B:$B,0),MATCH(B101,Assumptions!$C$3:$E$3,0))</f>
      </c>
      <c r="H101">
        <f>D101*INDEX(Assumptions!$C:$E,MATCH("Support cost per active user",Assumptions!$B:$B,0),MATCH(B101,Assumptions!$C$3:$E$3,0))</f>
      </c>
      <c r="I101">
        <f>INDEX(Assumptions!$C:$E,MATCH("Monthly product/dev/ops cost",Assumptions!$B:$B,0),MATCH(B101,Assumptions!$C$3:$E$3,0))</f>
      </c>
      <c r="J101">
        <f>INDEX(Assumptions!$C:$E,MATCH("Monthly legal/compliance reserve",Assumptions!$B:$B,0),MATCH(B101,Assumptions!$C$3:$E$3,0))</f>
      </c>
      <c r="K101">
        <f>INDEX(Assumptions!$C:$E,MATCH("Monthly oracle/data cost",Assumptions!$B:$B,0),MATCH(B101,Assumptions!$C$3:$E$3,0))</f>
      </c>
      <c r="L101">
        <f>INDEX(Assumptions!$C:$E,MATCH("Monthly infrastructure cost",Assumptions!$B:$B,0),MATCH(B101,Assumptions!$C$3:$E$3,0))</f>
      </c>
      <c r="M101">
        <f>INDEX(Assumptions!$C:$E,MATCH("Monthly audit/security reserve",Assumptions!$B:$B,0),MATCH(B101,Assumptions!$C$3:$E$3,0))</f>
      </c>
      <c r="N101">
        <f>INDEX(Assumptions!$C:$E,MATCH("Monthly jackpot top-up reserve",Assumptions!$B:$B,0),MATCH(B101,Assumptions!$C$3:$E$3,0))</f>
      </c>
      <c r="O101">
        <f>SUM(E101)</f>
      </c>
    </row>
    <row r="102">
      <c r="A102">
        <v>29</v>
      </c>
      <c r="B102" t="inlineStr">
        <is>
          <t>Upside</t>
        </is>
      </c>
      <c r="C102">
        <f>SUMIFS(Funnel!$H:$H,Funnel!$A:$A,A102,Funnel!$B:$B,B102)</f>
      </c>
      <c r="D102">
        <f>SUMIFS(Funnel!$J:$J,Funnel!$A:$A,A102,Funnel!$B:$B,B102)</f>
      </c>
      <c r="E102">
        <f>C102*INDEX(Assumptions!$C:$E,MATCH("Partner share of first buyers",Assumptions!$B:$B,0),MATCH(B102,Assumptions!$C$3:$E$3,0))*INDEX(Assumptions!$C:$E,MATCH("CPA per qualified player",Assumptions!$B:$B,0),MATCH(B102,Assumptions!$C$3:$E$3,0))*INDEX(Assumptions!$C:$E,MATCH("CPA approved rate",Assumptions!$B:$B,0),MATCH(B102,Assumptions!$C$3:$E$3,0))</f>
      </c>
      <c r="F102">
        <f>INDEX(Assumptions!$C:$E,MATCH("Monthly marketing fixed budget",Assumptions!$B:$B,0),MATCH(B102,Assumptions!$C$3:$E$3,0))</f>
      </c>
      <c r="G102">
        <f>D102*INDEX(Assumptions!$C:$E,MATCH("KYC required rate",Assumptions!$B:$B,0),MATCH(B102,Assumptions!$C$3:$E$3,0))*INDEX(Assumptions!$C:$E,MATCH("KYC cost per checked user",Assumptions!$B:$B,0),MATCH(B102,Assumptions!$C$3:$E$3,0))</f>
      </c>
      <c r="H102">
        <f>D102*INDEX(Assumptions!$C:$E,MATCH("Support cost per active user",Assumptions!$B:$B,0),MATCH(B102,Assumptions!$C$3:$E$3,0))</f>
      </c>
      <c r="I102">
        <f>INDEX(Assumptions!$C:$E,MATCH("Monthly product/dev/ops cost",Assumptions!$B:$B,0),MATCH(B102,Assumptions!$C$3:$E$3,0))</f>
      </c>
      <c r="J102">
        <f>INDEX(Assumptions!$C:$E,MATCH("Monthly legal/compliance reserve",Assumptions!$B:$B,0),MATCH(B102,Assumptions!$C$3:$E$3,0))</f>
      </c>
      <c r="K102">
        <f>INDEX(Assumptions!$C:$E,MATCH("Monthly oracle/data cost",Assumptions!$B:$B,0),MATCH(B102,Assumptions!$C$3:$E$3,0))</f>
      </c>
      <c r="L102">
        <f>INDEX(Assumptions!$C:$E,MATCH("Monthly infrastructure cost",Assumptions!$B:$B,0),MATCH(B102,Assumptions!$C$3:$E$3,0))</f>
      </c>
      <c r="M102">
        <f>INDEX(Assumptions!$C:$E,MATCH("Monthly audit/security reserve",Assumptions!$B:$B,0),MATCH(B102,Assumptions!$C$3:$E$3,0))</f>
      </c>
      <c r="N102">
        <f>INDEX(Assumptions!$C:$E,MATCH("Monthly jackpot top-up reserve",Assumptions!$B:$B,0),MATCH(B102,Assumptions!$C$3:$E$3,0))</f>
      </c>
      <c r="O102">
        <f>SUM(E102)</f>
      </c>
    </row>
    <row r="103">
      <c r="A103">
        <v>30</v>
      </c>
      <c r="B103" t="inlineStr">
        <is>
          <t>Upside</t>
        </is>
      </c>
      <c r="C103">
        <f>SUMIFS(Funnel!$H:$H,Funnel!$A:$A,A103,Funnel!$B:$B,B103)</f>
      </c>
      <c r="D103">
        <f>SUMIFS(Funnel!$J:$J,Funnel!$A:$A,A103,Funnel!$B:$B,B103)</f>
      </c>
      <c r="E103">
        <f>C103*INDEX(Assumptions!$C:$E,MATCH("Partner share of first buyers",Assumptions!$B:$B,0),MATCH(B103,Assumptions!$C$3:$E$3,0))*INDEX(Assumptions!$C:$E,MATCH("CPA per qualified player",Assumptions!$B:$B,0),MATCH(B103,Assumptions!$C$3:$E$3,0))*INDEX(Assumptions!$C:$E,MATCH("CPA approved rate",Assumptions!$B:$B,0),MATCH(B103,Assumptions!$C$3:$E$3,0))</f>
      </c>
      <c r="F103">
        <f>INDEX(Assumptions!$C:$E,MATCH("Monthly marketing fixed budget",Assumptions!$B:$B,0),MATCH(B103,Assumptions!$C$3:$E$3,0))</f>
      </c>
      <c r="G103">
        <f>D103*INDEX(Assumptions!$C:$E,MATCH("KYC required rate",Assumptions!$B:$B,0),MATCH(B103,Assumptions!$C$3:$E$3,0))*INDEX(Assumptions!$C:$E,MATCH("KYC cost per checked user",Assumptions!$B:$B,0),MATCH(B103,Assumptions!$C$3:$E$3,0))</f>
      </c>
      <c r="H103">
        <f>D103*INDEX(Assumptions!$C:$E,MATCH("Support cost per active user",Assumptions!$B:$B,0),MATCH(B103,Assumptions!$C$3:$E$3,0))</f>
      </c>
      <c r="I103">
        <f>INDEX(Assumptions!$C:$E,MATCH("Monthly product/dev/ops cost",Assumptions!$B:$B,0),MATCH(B103,Assumptions!$C$3:$E$3,0))</f>
      </c>
      <c r="J103">
        <f>INDEX(Assumptions!$C:$E,MATCH("Monthly legal/compliance reserve",Assumptions!$B:$B,0),MATCH(B103,Assumptions!$C$3:$E$3,0))</f>
      </c>
      <c r="K103">
        <f>INDEX(Assumptions!$C:$E,MATCH("Monthly oracle/data cost",Assumptions!$B:$B,0),MATCH(B103,Assumptions!$C$3:$E$3,0))</f>
      </c>
      <c r="L103">
        <f>INDEX(Assumptions!$C:$E,MATCH("Monthly infrastructure cost",Assumptions!$B:$B,0),MATCH(B103,Assumptions!$C$3:$E$3,0))</f>
      </c>
      <c r="M103">
        <f>INDEX(Assumptions!$C:$E,MATCH("Monthly audit/security reserve",Assumptions!$B:$B,0),MATCH(B103,Assumptions!$C$3:$E$3,0))</f>
      </c>
      <c r="N103">
        <f>INDEX(Assumptions!$C:$E,MATCH("Monthly jackpot top-up reserve",Assumptions!$B:$B,0),MATCH(B103,Assumptions!$C$3:$E$3,0))</f>
      </c>
      <c r="O103">
        <f>SUM(E103)</f>
      </c>
    </row>
    <row r="104">
      <c r="A104">
        <v>31</v>
      </c>
      <c r="B104" t="inlineStr">
        <is>
          <t>Upside</t>
        </is>
      </c>
      <c r="C104">
        <f>SUMIFS(Funnel!$H:$H,Funnel!$A:$A,A104,Funnel!$B:$B,B104)</f>
      </c>
      <c r="D104">
        <f>SUMIFS(Funnel!$J:$J,Funnel!$A:$A,A104,Funnel!$B:$B,B104)</f>
      </c>
      <c r="E104">
        <f>C104*INDEX(Assumptions!$C:$E,MATCH("Partner share of first buyers",Assumptions!$B:$B,0),MATCH(B104,Assumptions!$C$3:$E$3,0))*INDEX(Assumptions!$C:$E,MATCH("CPA per qualified player",Assumptions!$B:$B,0),MATCH(B104,Assumptions!$C$3:$E$3,0))*INDEX(Assumptions!$C:$E,MATCH("CPA approved rate",Assumptions!$B:$B,0),MATCH(B104,Assumptions!$C$3:$E$3,0))</f>
      </c>
      <c r="F104">
        <f>INDEX(Assumptions!$C:$E,MATCH("Monthly marketing fixed budget",Assumptions!$B:$B,0),MATCH(B104,Assumptions!$C$3:$E$3,0))</f>
      </c>
      <c r="G104">
        <f>D104*INDEX(Assumptions!$C:$E,MATCH("KYC required rate",Assumptions!$B:$B,0),MATCH(B104,Assumptions!$C$3:$E$3,0))*INDEX(Assumptions!$C:$E,MATCH("KYC cost per checked user",Assumptions!$B:$B,0),MATCH(B104,Assumptions!$C$3:$E$3,0))</f>
      </c>
      <c r="H104">
        <f>D104*INDEX(Assumptions!$C:$E,MATCH("Support cost per active user",Assumptions!$B:$B,0),MATCH(B104,Assumptions!$C$3:$E$3,0))</f>
      </c>
      <c r="I104">
        <f>INDEX(Assumptions!$C:$E,MATCH("Monthly product/dev/ops cost",Assumptions!$B:$B,0),MATCH(B104,Assumptions!$C$3:$E$3,0))</f>
      </c>
      <c r="J104">
        <f>INDEX(Assumptions!$C:$E,MATCH("Monthly legal/compliance reserve",Assumptions!$B:$B,0),MATCH(B104,Assumptions!$C$3:$E$3,0))</f>
      </c>
      <c r="K104">
        <f>INDEX(Assumptions!$C:$E,MATCH("Monthly oracle/data cost",Assumptions!$B:$B,0),MATCH(B104,Assumptions!$C$3:$E$3,0))</f>
      </c>
      <c r="L104">
        <f>INDEX(Assumptions!$C:$E,MATCH("Monthly infrastructure cost",Assumptions!$B:$B,0),MATCH(B104,Assumptions!$C$3:$E$3,0))</f>
      </c>
      <c r="M104">
        <f>INDEX(Assumptions!$C:$E,MATCH("Monthly audit/security reserve",Assumptions!$B:$B,0),MATCH(B104,Assumptions!$C$3:$E$3,0))</f>
      </c>
      <c r="N104">
        <f>INDEX(Assumptions!$C:$E,MATCH("Monthly jackpot top-up reserve",Assumptions!$B:$B,0),MATCH(B104,Assumptions!$C$3:$E$3,0))</f>
      </c>
      <c r="O104">
        <f>SUM(E104)</f>
      </c>
    </row>
    <row r="105">
      <c r="A105">
        <v>32</v>
      </c>
      <c r="B105" t="inlineStr">
        <is>
          <t>Upside</t>
        </is>
      </c>
      <c r="C105">
        <f>SUMIFS(Funnel!$H:$H,Funnel!$A:$A,A105,Funnel!$B:$B,B105)</f>
      </c>
      <c r="D105">
        <f>SUMIFS(Funnel!$J:$J,Funnel!$A:$A,A105,Funnel!$B:$B,B105)</f>
      </c>
      <c r="E105">
        <f>C105*INDEX(Assumptions!$C:$E,MATCH("Partner share of first buyers",Assumptions!$B:$B,0),MATCH(B105,Assumptions!$C$3:$E$3,0))*INDEX(Assumptions!$C:$E,MATCH("CPA per qualified player",Assumptions!$B:$B,0),MATCH(B105,Assumptions!$C$3:$E$3,0))*INDEX(Assumptions!$C:$E,MATCH("CPA approved rate",Assumptions!$B:$B,0),MATCH(B105,Assumptions!$C$3:$E$3,0))</f>
      </c>
      <c r="F105">
        <f>INDEX(Assumptions!$C:$E,MATCH("Monthly marketing fixed budget",Assumptions!$B:$B,0),MATCH(B105,Assumptions!$C$3:$E$3,0))</f>
      </c>
      <c r="G105">
        <f>D105*INDEX(Assumptions!$C:$E,MATCH("KYC required rate",Assumptions!$B:$B,0),MATCH(B105,Assumptions!$C$3:$E$3,0))*INDEX(Assumptions!$C:$E,MATCH("KYC cost per checked user",Assumptions!$B:$B,0),MATCH(B105,Assumptions!$C$3:$E$3,0))</f>
      </c>
      <c r="H105">
        <f>D105*INDEX(Assumptions!$C:$E,MATCH("Support cost per active user",Assumptions!$B:$B,0),MATCH(B105,Assumptions!$C$3:$E$3,0))</f>
      </c>
      <c r="I105">
        <f>INDEX(Assumptions!$C:$E,MATCH("Monthly product/dev/ops cost",Assumptions!$B:$B,0),MATCH(B105,Assumptions!$C$3:$E$3,0))</f>
      </c>
      <c r="J105">
        <f>INDEX(Assumptions!$C:$E,MATCH("Monthly legal/compliance reserve",Assumptions!$B:$B,0),MATCH(B105,Assumptions!$C$3:$E$3,0))</f>
      </c>
      <c r="K105">
        <f>INDEX(Assumptions!$C:$E,MATCH("Monthly oracle/data cost",Assumptions!$B:$B,0),MATCH(B105,Assumptions!$C$3:$E$3,0))</f>
      </c>
      <c r="L105">
        <f>INDEX(Assumptions!$C:$E,MATCH("Monthly infrastructure cost",Assumptions!$B:$B,0),MATCH(B105,Assumptions!$C$3:$E$3,0))</f>
      </c>
      <c r="M105">
        <f>INDEX(Assumptions!$C:$E,MATCH("Monthly audit/security reserve",Assumptions!$B:$B,0),MATCH(B105,Assumptions!$C$3:$E$3,0))</f>
      </c>
      <c r="N105">
        <f>INDEX(Assumptions!$C:$E,MATCH("Monthly jackpot top-up reserve",Assumptions!$B:$B,0),MATCH(B105,Assumptions!$C$3:$E$3,0))</f>
      </c>
      <c r="O105">
        <f>SUM(E105)</f>
      </c>
    </row>
    <row r="106">
      <c r="A106">
        <v>33</v>
      </c>
      <c r="B106" t="inlineStr">
        <is>
          <t>Upside</t>
        </is>
      </c>
      <c r="C106">
        <f>SUMIFS(Funnel!$H:$H,Funnel!$A:$A,A106,Funnel!$B:$B,B106)</f>
      </c>
      <c r="D106">
        <f>SUMIFS(Funnel!$J:$J,Funnel!$A:$A,A106,Funnel!$B:$B,B106)</f>
      </c>
      <c r="E106">
        <f>C106*INDEX(Assumptions!$C:$E,MATCH("Partner share of first buyers",Assumptions!$B:$B,0),MATCH(B106,Assumptions!$C$3:$E$3,0))*INDEX(Assumptions!$C:$E,MATCH("CPA per qualified player",Assumptions!$B:$B,0),MATCH(B106,Assumptions!$C$3:$E$3,0))*INDEX(Assumptions!$C:$E,MATCH("CPA approved rate",Assumptions!$B:$B,0),MATCH(B106,Assumptions!$C$3:$E$3,0))</f>
      </c>
      <c r="F106">
        <f>INDEX(Assumptions!$C:$E,MATCH("Monthly marketing fixed budget",Assumptions!$B:$B,0),MATCH(B106,Assumptions!$C$3:$E$3,0))</f>
      </c>
      <c r="G106">
        <f>D106*INDEX(Assumptions!$C:$E,MATCH("KYC required rate",Assumptions!$B:$B,0),MATCH(B106,Assumptions!$C$3:$E$3,0))*INDEX(Assumptions!$C:$E,MATCH("KYC cost per checked user",Assumptions!$B:$B,0),MATCH(B106,Assumptions!$C$3:$E$3,0))</f>
      </c>
      <c r="H106">
        <f>D106*INDEX(Assumptions!$C:$E,MATCH("Support cost per active user",Assumptions!$B:$B,0),MATCH(B106,Assumptions!$C$3:$E$3,0))</f>
      </c>
      <c r="I106">
        <f>INDEX(Assumptions!$C:$E,MATCH("Monthly product/dev/ops cost",Assumptions!$B:$B,0),MATCH(B106,Assumptions!$C$3:$E$3,0))</f>
      </c>
      <c r="J106">
        <f>INDEX(Assumptions!$C:$E,MATCH("Monthly legal/compliance reserve",Assumptions!$B:$B,0),MATCH(B106,Assumptions!$C$3:$E$3,0))</f>
      </c>
      <c r="K106">
        <f>INDEX(Assumptions!$C:$E,MATCH("Monthly oracle/data cost",Assumptions!$B:$B,0),MATCH(B106,Assumptions!$C$3:$E$3,0))</f>
      </c>
      <c r="L106">
        <f>INDEX(Assumptions!$C:$E,MATCH("Monthly infrastructure cost",Assumptions!$B:$B,0),MATCH(B106,Assumptions!$C$3:$E$3,0))</f>
      </c>
      <c r="M106">
        <f>INDEX(Assumptions!$C:$E,MATCH("Monthly audit/security reserve",Assumptions!$B:$B,0),MATCH(B106,Assumptions!$C$3:$E$3,0))</f>
      </c>
      <c r="N106">
        <f>INDEX(Assumptions!$C:$E,MATCH("Monthly jackpot top-up reserve",Assumptions!$B:$B,0),MATCH(B106,Assumptions!$C$3:$E$3,0))</f>
      </c>
      <c r="O106">
        <f>SUM(E106)</f>
      </c>
    </row>
    <row r="107">
      <c r="A107">
        <v>34</v>
      </c>
      <c r="B107" t="inlineStr">
        <is>
          <t>Upside</t>
        </is>
      </c>
      <c r="C107">
        <f>SUMIFS(Funnel!$H:$H,Funnel!$A:$A,A107,Funnel!$B:$B,B107)</f>
      </c>
      <c r="D107">
        <f>SUMIFS(Funnel!$J:$J,Funnel!$A:$A,A107,Funnel!$B:$B,B107)</f>
      </c>
      <c r="E107">
        <f>C107*INDEX(Assumptions!$C:$E,MATCH("Partner share of first buyers",Assumptions!$B:$B,0),MATCH(B107,Assumptions!$C$3:$E$3,0))*INDEX(Assumptions!$C:$E,MATCH("CPA per qualified player",Assumptions!$B:$B,0),MATCH(B107,Assumptions!$C$3:$E$3,0))*INDEX(Assumptions!$C:$E,MATCH("CPA approved rate",Assumptions!$B:$B,0),MATCH(B107,Assumptions!$C$3:$E$3,0))</f>
      </c>
      <c r="F107">
        <f>INDEX(Assumptions!$C:$E,MATCH("Monthly marketing fixed budget",Assumptions!$B:$B,0),MATCH(B107,Assumptions!$C$3:$E$3,0))</f>
      </c>
      <c r="G107">
        <f>D107*INDEX(Assumptions!$C:$E,MATCH("KYC required rate",Assumptions!$B:$B,0),MATCH(B107,Assumptions!$C$3:$E$3,0))*INDEX(Assumptions!$C:$E,MATCH("KYC cost per checked user",Assumptions!$B:$B,0),MATCH(B107,Assumptions!$C$3:$E$3,0))</f>
      </c>
      <c r="H107">
        <f>D107*INDEX(Assumptions!$C:$E,MATCH("Support cost per active user",Assumptions!$B:$B,0),MATCH(B107,Assumptions!$C$3:$E$3,0))</f>
      </c>
      <c r="I107">
        <f>INDEX(Assumptions!$C:$E,MATCH("Monthly product/dev/ops cost",Assumptions!$B:$B,0),MATCH(B107,Assumptions!$C$3:$E$3,0))</f>
      </c>
      <c r="J107">
        <f>INDEX(Assumptions!$C:$E,MATCH("Monthly legal/compliance reserve",Assumptions!$B:$B,0),MATCH(B107,Assumptions!$C$3:$E$3,0))</f>
      </c>
      <c r="K107">
        <f>INDEX(Assumptions!$C:$E,MATCH("Monthly oracle/data cost",Assumptions!$B:$B,0),MATCH(B107,Assumptions!$C$3:$E$3,0))</f>
      </c>
      <c r="L107">
        <f>INDEX(Assumptions!$C:$E,MATCH("Monthly infrastructure cost",Assumptions!$B:$B,0),MATCH(B107,Assumptions!$C$3:$E$3,0))</f>
      </c>
      <c r="M107">
        <f>INDEX(Assumptions!$C:$E,MATCH("Monthly audit/security reserve",Assumptions!$B:$B,0),MATCH(B107,Assumptions!$C$3:$E$3,0))</f>
      </c>
      <c r="N107">
        <f>INDEX(Assumptions!$C:$E,MATCH("Monthly jackpot top-up reserve",Assumptions!$B:$B,0),MATCH(B107,Assumptions!$C$3:$E$3,0))</f>
      </c>
      <c r="O107">
        <f>SUM(E107)</f>
      </c>
    </row>
    <row r="108">
      <c r="A108">
        <v>35</v>
      </c>
      <c r="B108" t="inlineStr">
        <is>
          <t>Upside</t>
        </is>
      </c>
      <c r="C108">
        <f>SUMIFS(Funnel!$H:$H,Funnel!$A:$A,A108,Funnel!$B:$B,B108)</f>
      </c>
      <c r="D108">
        <f>SUMIFS(Funnel!$J:$J,Funnel!$A:$A,A108,Funnel!$B:$B,B108)</f>
      </c>
      <c r="E108">
        <f>C108*INDEX(Assumptions!$C:$E,MATCH("Partner share of first buyers",Assumptions!$B:$B,0),MATCH(B108,Assumptions!$C$3:$E$3,0))*INDEX(Assumptions!$C:$E,MATCH("CPA per qualified player",Assumptions!$B:$B,0),MATCH(B108,Assumptions!$C$3:$E$3,0))*INDEX(Assumptions!$C:$E,MATCH("CPA approved rate",Assumptions!$B:$B,0),MATCH(B108,Assumptions!$C$3:$E$3,0))</f>
      </c>
      <c r="F108">
        <f>INDEX(Assumptions!$C:$E,MATCH("Monthly marketing fixed budget",Assumptions!$B:$B,0),MATCH(B108,Assumptions!$C$3:$E$3,0))</f>
      </c>
      <c r="G108">
        <f>D108*INDEX(Assumptions!$C:$E,MATCH("KYC required rate",Assumptions!$B:$B,0),MATCH(B108,Assumptions!$C$3:$E$3,0))*INDEX(Assumptions!$C:$E,MATCH("KYC cost per checked user",Assumptions!$B:$B,0),MATCH(B108,Assumptions!$C$3:$E$3,0))</f>
      </c>
      <c r="H108">
        <f>D108*INDEX(Assumptions!$C:$E,MATCH("Support cost per active user",Assumptions!$B:$B,0),MATCH(B108,Assumptions!$C$3:$E$3,0))</f>
      </c>
      <c r="I108">
        <f>INDEX(Assumptions!$C:$E,MATCH("Monthly product/dev/ops cost",Assumptions!$B:$B,0),MATCH(B108,Assumptions!$C$3:$E$3,0))</f>
      </c>
      <c r="J108">
        <f>INDEX(Assumptions!$C:$E,MATCH("Monthly legal/compliance reserve",Assumptions!$B:$B,0),MATCH(B108,Assumptions!$C$3:$E$3,0))</f>
      </c>
      <c r="K108">
        <f>INDEX(Assumptions!$C:$E,MATCH("Monthly oracle/data cost",Assumptions!$B:$B,0),MATCH(B108,Assumptions!$C$3:$E$3,0))</f>
      </c>
      <c r="L108">
        <f>INDEX(Assumptions!$C:$E,MATCH("Monthly infrastructure cost",Assumptions!$B:$B,0),MATCH(B108,Assumptions!$C$3:$E$3,0))</f>
      </c>
      <c r="M108">
        <f>INDEX(Assumptions!$C:$E,MATCH("Monthly audit/security reserve",Assumptions!$B:$B,0),MATCH(B108,Assumptions!$C$3:$E$3,0))</f>
      </c>
      <c r="N108">
        <f>INDEX(Assumptions!$C:$E,MATCH("Monthly jackpot top-up reserve",Assumptions!$B:$B,0),MATCH(B108,Assumptions!$C$3:$E$3,0))</f>
      </c>
      <c r="O108">
        <f>SUM(E108)</f>
      </c>
    </row>
    <row r="109">
      <c r="A109">
        <v>36</v>
      </c>
      <c r="B109" t="inlineStr">
        <is>
          <t>Upside</t>
        </is>
      </c>
      <c r="C109">
        <f>SUMIFS(Funnel!$H:$H,Funnel!$A:$A,A109,Funnel!$B:$B,B109)</f>
      </c>
      <c r="D109">
        <f>SUMIFS(Funnel!$J:$J,Funnel!$A:$A,A109,Funnel!$B:$B,B109)</f>
      </c>
      <c r="E109">
        <f>C109*INDEX(Assumptions!$C:$E,MATCH("Partner share of first buyers",Assumptions!$B:$B,0),MATCH(B109,Assumptions!$C$3:$E$3,0))*INDEX(Assumptions!$C:$E,MATCH("CPA per qualified player",Assumptions!$B:$B,0),MATCH(B109,Assumptions!$C$3:$E$3,0))*INDEX(Assumptions!$C:$E,MATCH("CPA approved rate",Assumptions!$B:$B,0),MATCH(B109,Assumptions!$C$3:$E$3,0))</f>
      </c>
      <c r="F109">
        <f>INDEX(Assumptions!$C:$E,MATCH("Monthly marketing fixed budget",Assumptions!$B:$B,0),MATCH(B109,Assumptions!$C$3:$E$3,0))</f>
      </c>
      <c r="G109">
        <f>D109*INDEX(Assumptions!$C:$E,MATCH("KYC required rate",Assumptions!$B:$B,0),MATCH(B109,Assumptions!$C$3:$E$3,0))*INDEX(Assumptions!$C:$E,MATCH("KYC cost per checked user",Assumptions!$B:$B,0),MATCH(B109,Assumptions!$C$3:$E$3,0))</f>
      </c>
      <c r="H109">
        <f>D109*INDEX(Assumptions!$C:$E,MATCH("Support cost per active user",Assumptions!$B:$B,0),MATCH(B109,Assumptions!$C$3:$E$3,0))</f>
      </c>
      <c r="I109">
        <f>INDEX(Assumptions!$C:$E,MATCH("Monthly product/dev/ops cost",Assumptions!$B:$B,0),MATCH(B109,Assumptions!$C$3:$E$3,0))</f>
      </c>
      <c r="J109">
        <f>INDEX(Assumptions!$C:$E,MATCH("Monthly legal/compliance reserve",Assumptions!$B:$B,0),MATCH(B109,Assumptions!$C$3:$E$3,0))</f>
      </c>
      <c r="K109">
        <f>INDEX(Assumptions!$C:$E,MATCH("Monthly oracle/data cost",Assumptions!$B:$B,0),MATCH(B109,Assumptions!$C$3:$E$3,0))</f>
      </c>
      <c r="L109">
        <f>INDEX(Assumptions!$C:$E,MATCH("Monthly infrastructure cost",Assumptions!$B:$B,0),MATCH(B109,Assumptions!$C$3:$E$3,0))</f>
      </c>
      <c r="M109">
        <f>INDEX(Assumptions!$C:$E,MATCH("Monthly audit/security reserve",Assumptions!$B:$B,0),MATCH(B109,Assumptions!$C$3:$E$3,0))</f>
      </c>
      <c r="N109">
        <f>INDEX(Assumptions!$C:$E,MATCH("Monthly jackpot top-up reserve",Assumptions!$B:$B,0),MATCH(B109,Assumptions!$C$3:$E$3,0))</f>
      </c>
      <c r="O109">
        <f>SUM(E109)</f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09"/>
  <sheetViews>
    <sheetView workbookViewId="0"/>
  </sheetViews>
  <sheetFormatPr defaultRowHeight="15"/>
  <cols>
    <col min="1" max="1" width="10" customWidth="1"/>
    <col min="2" max="2" width="16" customWidth="1"/>
    <col min="3" max="3" width="16" customWidth="1"/>
    <col min="4" max="4" width="22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24" customWidth="1"/>
    <col min="11" max="11" width="22" customWidth="1"/>
    <col min="12" max="12" width="18" customWidth="1"/>
    <col min="13" max="13" width="26" customWidth="1"/>
  </cols>
  <sheetData>
    <row r="1">
      <c r="A1" t="inlineStr">
        <is>
          <t>Month</t>
        </is>
      </c>
      <c r="B1" t="inlineStr">
        <is>
          <t>Scenario</t>
        </is>
      </c>
      <c r="C1" t="inlineStr">
        <is>
          <t>GMV</t>
        </is>
      </c>
      <c r="D1" t="inlineStr">
        <is>
          <t>Net platform revenue</t>
        </is>
      </c>
      <c r="E1" t="inlineStr">
        <is>
          <t>Total costs</t>
        </is>
      </c>
      <c r="F1" t="inlineStr">
        <is>
          <t>First buyers</t>
        </is>
      </c>
      <c r="G1" t="inlineStr">
        <is>
          <t>Active users</t>
        </is>
      </c>
      <c r="H1" t="inlineStr">
        <is>
          <t>CAC</t>
        </is>
      </c>
      <c r="I1" t="inlineStr">
        <is>
          <t>ARPPU</t>
        </is>
      </c>
      <c r="J1" t="inlineStr">
        <is>
          <t>Net revenue / active user</t>
        </is>
      </c>
      <c r="K1" t="inlineStr">
        <is>
          <t>Contribution margin</t>
        </is>
      </c>
      <c r="L1" t="inlineStr">
        <is>
          <t>Payback months</t>
        </is>
      </c>
      <c r="M1" t="inlineStr">
        <is>
          <t>Break-even monthly GMV</t>
        </is>
      </c>
    </row>
    <row r="2">
      <c r="A2">
        <v>1</v>
      </c>
      <c r="B2" t="inlineStr">
        <is>
          <t>Conservative</t>
        </is>
      </c>
      <c r="C2">
        <f>SUMIFS(Revenue!$F:$F,Revenue!$A:$A,A2,Revenue!$B:$B,B2)</f>
      </c>
      <c r="D2">
        <f>SUMIFS(Revenue!$K:$K,Revenue!$A:$A,A2,Revenue!$B:$B,B2)</f>
      </c>
      <c r="E2">
        <f>SUMIFS(Costs!$O:$O,Costs!$A:$A,A2,Costs!$B:$B,B2)</f>
      </c>
      <c r="F2">
        <f>SUMIFS(Costs!$C:$C,Costs!$A:$A,A2,Costs!$B:$B,B2)</f>
      </c>
      <c r="G2">
        <f>SUMIFS(Costs!$D:$D,Costs!$A:$A,A2,Costs!$B:$B,B2)</f>
      </c>
      <c r="H2">
        <f>IF(F2=0,0,(SUMIFS(Costs!$E:$E,Costs!$A:$A,A2,Costs!$B:$B,B2)+SUMIFS(Costs!$F:$F,Costs!$A:$A,A2,Costs!$B:$B,B2))/F2)</f>
      </c>
      <c r="I2">
        <f>IF(G2=0,0,C2/G2)</f>
      </c>
      <c r="J2">
        <f>IF(G2=0,0,D2/G2)</f>
      </c>
      <c r="K2">
        <f>D2-E2</f>
      </c>
      <c r="L2">
        <f>IF(J2&lt;=0,0,H2/J2)</f>
      </c>
      <c r="M2">
        <f>IF(INDEX(Assumptions!$C:$E,MATCH("Net platform margin before OPEX",Assumptions!$B:$B,0),MATCH(B2,Assumptions!$C$3:$E$3,0))=0,0,E2/INDEX(Assumptions!$C:$E,MATCH("Net platform margin before OPEX",Assumptions!$B:$B,0),MATCH(B2,Assumptions!$C$3:$E$3,0)))</f>
      </c>
    </row>
    <row r="3">
      <c r="A3">
        <v>2</v>
      </c>
      <c r="B3" t="inlineStr">
        <is>
          <t>Conservative</t>
        </is>
      </c>
      <c r="C3">
        <f>SUMIFS(Revenue!$F:$F,Revenue!$A:$A,A3,Revenue!$B:$B,B3)</f>
      </c>
      <c r="D3">
        <f>SUMIFS(Revenue!$K:$K,Revenue!$A:$A,A3,Revenue!$B:$B,B3)</f>
      </c>
      <c r="E3">
        <f>SUMIFS(Costs!$O:$O,Costs!$A:$A,A3,Costs!$B:$B,B3)</f>
      </c>
      <c r="F3">
        <f>SUMIFS(Costs!$C:$C,Costs!$A:$A,A3,Costs!$B:$B,B3)</f>
      </c>
      <c r="G3">
        <f>SUMIFS(Costs!$D:$D,Costs!$A:$A,A3,Costs!$B:$B,B3)</f>
      </c>
      <c r="H3">
        <f>IF(F3=0,0,(SUMIFS(Costs!$E:$E,Costs!$A:$A,A3,Costs!$B:$B,B3)+SUMIFS(Costs!$F:$F,Costs!$A:$A,A3,Costs!$B:$B,B3))/F3)</f>
      </c>
      <c r="I3">
        <f>IF(G3=0,0,C3/G3)</f>
      </c>
      <c r="J3">
        <f>IF(G3=0,0,D3/G3)</f>
      </c>
      <c r="K3">
        <f>D3-E3</f>
      </c>
      <c r="L3">
        <f>IF(J3&lt;=0,0,H3/J3)</f>
      </c>
      <c r="M3">
        <f>IF(INDEX(Assumptions!$C:$E,MATCH("Net platform margin before OPEX",Assumptions!$B:$B,0),MATCH(B3,Assumptions!$C$3:$E$3,0))=0,0,E3/INDEX(Assumptions!$C:$E,MATCH("Net platform margin before OPEX",Assumptions!$B:$B,0),MATCH(B3,Assumptions!$C$3:$E$3,0)))</f>
      </c>
    </row>
    <row r="4">
      <c r="A4">
        <v>3</v>
      </c>
      <c r="B4" t="inlineStr">
        <is>
          <t>Conservative</t>
        </is>
      </c>
      <c r="C4">
        <f>SUMIFS(Revenue!$F:$F,Revenue!$A:$A,A4,Revenue!$B:$B,B4)</f>
      </c>
      <c r="D4">
        <f>SUMIFS(Revenue!$K:$K,Revenue!$A:$A,A4,Revenue!$B:$B,B4)</f>
      </c>
      <c r="E4">
        <f>SUMIFS(Costs!$O:$O,Costs!$A:$A,A4,Costs!$B:$B,B4)</f>
      </c>
      <c r="F4">
        <f>SUMIFS(Costs!$C:$C,Costs!$A:$A,A4,Costs!$B:$B,B4)</f>
      </c>
      <c r="G4">
        <f>SUMIFS(Costs!$D:$D,Costs!$A:$A,A4,Costs!$B:$B,B4)</f>
      </c>
      <c r="H4">
        <f>IF(F4=0,0,(SUMIFS(Costs!$E:$E,Costs!$A:$A,A4,Costs!$B:$B,B4)+SUMIFS(Costs!$F:$F,Costs!$A:$A,A4,Costs!$B:$B,B4))/F4)</f>
      </c>
      <c r="I4">
        <f>IF(G4=0,0,C4/G4)</f>
      </c>
      <c r="J4">
        <f>IF(G4=0,0,D4/G4)</f>
      </c>
      <c r="K4">
        <f>D4-E4</f>
      </c>
      <c r="L4">
        <f>IF(J4&lt;=0,0,H4/J4)</f>
      </c>
      <c r="M4">
        <f>IF(INDEX(Assumptions!$C:$E,MATCH("Net platform margin before OPEX",Assumptions!$B:$B,0),MATCH(B4,Assumptions!$C$3:$E$3,0))=0,0,E4/INDEX(Assumptions!$C:$E,MATCH("Net platform margin before OPEX",Assumptions!$B:$B,0),MATCH(B4,Assumptions!$C$3:$E$3,0)))</f>
      </c>
    </row>
    <row r="5">
      <c r="A5">
        <v>4</v>
      </c>
      <c r="B5" t="inlineStr">
        <is>
          <t>Conservative</t>
        </is>
      </c>
      <c r="C5">
        <f>SUMIFS(Revenue!$F:$F,Revenue!$A:$A,A5,Revenue!$B:$B,B5)</f>
      </c>
      <c r="D5">
        <f>SUMIFS(Revenue!$K:$K,Revenue!$A:$A,A5,Revenue!$B:$B,B5)</f>
      </c>
      <c r="E5">
        <f>SUMIFS(Costs!$O:$O,Costs!$A:$A,A5,Costs!$B:$B,B5)</f>
      </c>
      <c r="F5">
        <f>SUMIFS(Costs!$C:$C,Costs!$A:$A,A5,Costs!$B:$B,B5)</f>
      </c>
      <c r="G5">
        <f>SUMIFS(Costs!$D:$D,Costs!$A:$A,A5,Costs!$B:$B,B5)</f>
      </c>
      <c r="H5">
        <f>IF(F5=0,0,(SUMIFS(Costs!$E:$E,Costs!$A:$A,A5,Costs!$B:$B,B5)+SUMIFS(Costs!$F:$F,Costs!$A:$A,A5,Costs!$B:$B,B5))/F5)</f>
      </c>
      <c r="I5">
        <f>IF(G5=0,0,C5/G5)</f>
      </c>
      <c r="J5">
        <f>IF(G5=0,0,D5/G5)</f>
      </c>
      <c r="K5">
        <f>D5-E5</f>
      </c>
      <c r="L5">
        <f>IF(J5&lt;=0,0,H5/J5)</f>
      </c>
      <c r="M5">
        <f>IF(INDEX(Assumptions!$C:$E,MATCH("Net platform margin before OPEX",Assumptions!$B:$B,0),MATCH(B5,Assumptions!$C$3:$E$3,0))=0,0,E5/INDEX(Assumptions!$C:$E,MATCH("Net platform margin before OPEX",Assumptions!$B:$B,0),MATCH(B5,Assumptions!$C$3:$E$3,0)))</f>
      </c>
    </row>
    <row r="6">
      <c r="A6">
        <v>5</v>
      </c>
      <c r="B6" t="inlineStr">
        <is>
          <t>Conservative</t>
        </is>
      </c>
      <c r="C6">
        <f>SUMIFS(Revenue!$F:$F,Revenue!$A:$A,A6,Revenue!$B:$B,B6)</f>
      </c>
      <c r="D6">
        <f>SUMIFS(Revenue!$K:$K,Revenue!$A:$A,A6,Revenue!$B:$B,B6)</f>
      </c>
      <c r="E6">
        <f>SUMIFS(Costs!$O:$O,Costs!$A:$A,A6,Costs!$B:$B,B6)</f>
      </c>
      <c r="F6">
        <f>SUMIFS(Costs!$C:$C,Costs!$A:$A,A6,Costs!$B:$B,B6)</f>
      </c>
      <c r="G6">
        <f>SUMIFS(Costs!$D:$D,Costs!$A:$A,A6,Costs!$B:$B,B6)</f>
      </c>
      <c r="H6">
        <f>IF(F6=0,0,(SUMIFS(Costs!$E:$E,Costs!$A:$A,A6,Costs!$B:$B,B6)+SUMIFS(Costs!$F:$F,Costs!$A:$A,A6,Costs!$B:$B,B6))/F6)</f>
      </c>
      <c r="I6">
        <f>IF(G6=0,0,C6/G6)</f>
      </c>
      <c r="J6">
        <f>IF(G6=0,0,D6/G6)</f>
      </c>
      <c r="K6">
        <f>D6-E6</f>
      </c>
      <c r="L6">
        <f>IF(J6&lt;=0,0,H6/J6)</f>
      </c>
      <c r="M6">
        <f>IF(INDEX(Assumptions!$C:$E,MATCH("Net platform margin before OPEX",Assumptions!$B:$B,0),MATCH(B6,Assumptions!$C$3:$E$3,0))=0,0,E6/INDEX(Assumptions!$C:$E,MATCH("Net platform margin before OPEX",Assumptions!$B:$B,0),MATCH(B6,Assumptions!$C$3:$E$3,0)))</f>
      </c>
    </row>
    <row r="7">
      <c r="A7">
        <v>6</v>
      </c>
      <c r="B7" t="inlineStr">
        <is>
          <t>Conservative</t>
        </is>
      </c>
      <c r="C7">
        <f>SUMIFS(Revenue!$F:$F,Revenue!$A:$A,A7,Revenue!$B:$B,B7)</f>
      </c>
      <c r="D7">
        <f>SUMIFS(Revenue!$K:$K,Revenue!$A:$A,A7,Revenue!$B:$B,B7)</f>
      </c>
      <c r="E7">
        <f>SUMIFS(Costs!$O:$O,Costs!$A:$A,A7,Costs!$B:$B,B7)</f>
      </c>
      <c r="F7">
        <f>SUMIFS(Costs!$C:$C,Costs!$A:$A,A7,Costs!$B:$B,B7)</f>
      </c>
      <c r="G7">
        <f>SUMIFS(Costs!$D:$D,Costs!$A:$A,A7,Costs!$B:$B,B7)</f>
      </c>
      <c r="H7">
        <f>IF(F7=0,0,(SUMIFS(Costs!$E:$E,Costs!$A:$A,A7,Costs!$B:$B,B7)+SUMIFS(Costs!$F:$F,Costs!$A:$A,A7,Costs!$B:$B,B7))/F7)</f>
      </c>
      <c r="I7">
        <f>IF(G7=0,0,C7/G7)</f>
      </c>
      <c r="J7">
        <f>IF(G7=0,0,D7/G7)</f>
      </c>
      <c r="K7">
        <f>D7-E7</f>
      </c>
      <c r="L7">
        <f>IF(J7&lt;=0,0,H7/J7)</f>
      </c>
      <c r="M7">
        <f>IF(INDEX(Assumptions!$C:$E,MATCH("Net platform margin before OPEX",Assumptions!$B:$B,0),MATCH(B7,Assumptions!$C$3:$E$3,0))=0,0,E7/INDEX(Assumptions!$C:$E,MATCH("Net platform margin before OPEX",Assumptions!$B:$B,0),MATCH(B7,Assumptions!$C$3:$E$3,0)))</f>
      </c>
    </row>
    <row r="8">
      <c r="A8">
        <v>7</v>
      </c>
      <c r="B8" t="inlineStr">
        <is>
          <t>Conservative</t>
        </is>
      </c>
      <c r="C8">
        <f>SUMIFS(Revenue!$F:$F,Revenue!$A:$A,A8,Revenue!$B:$B,B8)</f>
      </c>
      <c r="D8">
        <f>SUMIFS(Revenue!$K:$K,Revenue!$A:$A,A8,Revenue!$B:$B,B8)</f>
      </c>
      <c r="E8">
        <f>SUMIFS(Costs!$O:$O,Costs!$A:$A,A8,Costs!$B:$B,B8)</f>
      </c>
      <c r="F8">
        <f>SUMIFS(Costs!$C:$C,Costs!$A:$A,A8,Costs!$B:$B,B8)</f>
      </c>
      <c r="G8">
        <f>SUMIFS(Costs!$D:$D,Costs!$A:$A,A8,Costs!$B:$B,B8)</f>
      </c>
      <c r="H8">
        <f>IF(F8=0,0,(SUMIFS(Costs!$E:$E,Costs!$A:$A,A8,Costs!$B:$B,B8)+SUMIFS(Costs!$F:$F,Costs!$A:$A,A8,Costs!$B:$B,B8))/F8)</f>
      </c>
      <c r="I8">
        <f>IF(G8=0,0,C8/G8)</f>
      </c>
      <c r="J8">
        <f>IF(G8=0,0,D8/G8)</f>
      </c>
      <c r="K8">
        <f>D8-E8</f>
      </c>
      <c r="L8">
        <f>IF(J8&lt;=0,0,H8/J8)</f>
      </c>
      <c r="M8">
        <f>IF(INDEX(Assumptions!$C:$E,MATCH("Net platform margin before OPEX",Assumptions!$B:$B,0),MATCH(B8,Assumptions!$C$3:$E$3,0))=0,0,E8/INDEX(Assumptions!$C:$E,MATCH("Net platform margin before OPEX",Assumptions!$B:$B,0),MATCH(B8,Assumptions!$C$3:$E$3,0)))</f>
      </c>
    </row>
    <row r="9">
      <c r="A9">
        <v>8</v>
      </c>
      <c r="B9" t="inlineStr">
        <is>
          <t>Conservative</t>
        </is>
      </c>
      <c r="C9">
        <f>SUMIFS(Revenue!$F:$F,Revenue!$A:$A,A9,Revenue!$B:$B,B9)</f>
      </c>
      <c r="D9">
        <f>SUMIFS(Revenue!$K:$K,Revenue!$A:$A,A9,Revenue!$B:$B,B9)</f>
      </c>
      <c r="E9">
        <f>SUMIFS(Costs!$O:$O,Costs!$A:$A,A9,Costs!$B:$B,B9)</f>
      </c>
      <c r="F9">
        <f>SUMIFS(Costs!$C:$C,Costs!$A:$A,A9,Costs!$B:$B,B9)</f>
      </c>
      <c r="G9">
        <f>SUMIFS(Costs!$D:$D,Costs!$A:$A,A9,Costs!$B:$B,B9)</f>
      </c>
      <c r="H9">
        <f>IF(F9=0,0,(SUMIFS(Costs!$E:$E,Costs!$A:$A,A9,Costs!$B:$B,B9)+SUMIFS(Costs!$F:$F,Costs!$A:$A,A9,Costs!$B:$B,B9))/F9)</f>
      </c>
      <c r="I9">
        <f>IF(G9=0,0,C9/G9)</f>
      </c>
      <c r="J9">
        <f>IF(G9=0,0,D9/G9)</f>
      </c>
      <c r="K9">
        <f>D9-E9</f>
      </c>
      <c r="L9">
        <f>IF(J9&lt;=0,0,H9/J9)</f>
      </c>
      <c r="M9">
        <f>IF(INDEX(Assumptions!$C:$E,MATCH("Net platform margin before OPEX",Assumptions!$B:$B,0),MATCH(B9,Assumptions!$C$3:$E$3,0))=0,0,E9/INDEX(Assumptions!$C:$E,MATCH("Net platform margin before OPEX",Assumptions!$B:$B,0),MATCH(B9,Assumptions!$C$3:$E$3,0)))</f>
      </c>
    </row>
    <row r="10">
      <c r="A10">
        <v>9</v>
      </c>
      <c r="B10" t="inlineStr">
        <is>
          <t>Conservative</t>
        </is>
      </c>
      <c r="C10">
        <f>SUMIFS(Revenue!$F:$F,Revenue!$A:$A,A10,Revenue!$B:$B,B10)</f>
      </c>
      <c r="D10">
        <f>SUMIFS(Revenue!$K:$K,Revenue!$A:$A,A10,Revenue!$B:$B,B10)</f>
      </c>
      <c r="E10">
        <f>SUMIFS(Costs!$O:$O,Costs!$A:$A,A10,Costs!$B:$B,B10)</f>
      </c>
      <c r="F10">
        <f>SUMIFS(Costs!$C:$C,Costs!$A:$A,A10,Costs!$B:$B,B10)</f>
      </c>
      <c r="G10">
        <f>SUMIFS(Costs!$D:$D,Costs!$A:$A,A10,Costs!$B:$B,B10)</f>
      </c>
      <c r="H10">
        <f>IF(F10=0,0,(SUMIFS(Costs!$E:$E,Costs!$A:$A,A10,Costs!$B:$B,B10)+SUMIFS(Costs!$F:$F,Costs!$A:$A,A10,Costs!$B:$B,B10))/F10)</f>
      </c>
      <c r="I10">
        <f>IF(G10=0,0,C10/G10)</f>
      </c>
      <c r="J10">
        <f>IF(G10=0,0,D10/G10)</f>
      </c>
      <c r="K10">
        <f>D10-E10</f>
      </c>
      <c r="L10">
        <f>IF(J10&lt;=0,0,H10/J10)</f>
      </c>
      <c r="M10">
        <f>IF(INDEX(Assumptions!$C:$E,MATCH("Net platform margin before OPEX",Assumptions!$B:$B,0),MATCH(B10,Assumptions!$C$3:$E$3,0))=0,0,E10/INDEX(Assumptions!$C:$E,MATCH("Net platform margin before OPEX",Assumptions!$B:$B,0),MATCH(B10,Assumptions!$C$3:$E$3,0)))</f>
      </c>
    </row>
    <row r="11">
      <c r="A11">
        <v>10</v>
      </c>
      <c r="B11" t="inlineStr">
        <is>
          <t>Conservative</t>
        </is>
      </c>
      <c r="C11">
        <f>SUMIFS(Revenue!$F:$F,Revenue!$A:$A,A11,Revenue!$B:$B,B11)</f>
      </c>
      <c r="D11">
        <f>SUMIFS(Revenue!$K:$K,Revenue!$A:$A,A11,Revenue!$B:$B,B11)</f>
      </c>
      <c r="E11">
        <f>SUMIFS(Costs!$O:$O,Costs!$A:$A,A11,Costs!$B:$B,B11)</f>
      </c>
      <c r="F11">
        <f>SUMIFS(Costs!$C:$C,Costs!$A:$A,A11,Costs!$B:$B,B11)</f>
      </c>
      <c r="G11">
        <f>SUMIFS(Costs!$D:$D,Costs!$A:$A,A11,Costs!$B:$B,B11)</f>
      </c>
      <c r="H11">
        <f>IF(F11=0,0,(SUMIFS(Costs!$E:$E,Costs!$A:$A,A11,Costs!$B:$B,B11)+SUMIFS(Costs!$F:$F,Costs!$A:$A,A11,Costs!$B:$B,B11))/F11)</f>
      </c>
      <c r="I11">
        <f>IF(G11=0,0,C11/G11)</f>
      </c>
      <c r="J11">
        <f>IF(G11=0,0,D11/G11)</f>
      </c>
      <c r="K11">
        <f>D11-E11</f>
      </c>
      <c r="L11">
        <f>IF(J11&lt;=0,0,H11/J11)</f>
      </c>
      <c r="M11">
        <f>IF(INDEX(Assumptions!$C:$E,MATCH("Net platform margin before OPEX",Assumptions!$B:$B,0),MATCH(B11,Assumptions!$C$3:$E$3,0))=0,0,E11/INDEX(Assumptions!$C:$E,MATCH("Net platform margin before OPEX",Assumptions!$B:$B,0),MATCH(B11,Assumptions!$C$3:$E$3,0)))</f>
      </c>
    </row>
    <row r="12">
      <c r="A12">
        <v>11</v>
      </c>
      <c r="B12" t="inlineStr">
        <is>
          <t>Conservative</t>
        </is>
      </c>
      <c r="C12">
        <f>SUMIFS(Revenue!$F:$F,Revenue!$A:$A,A12,Revenue!$B:$B,B12)</f>
      </c>
      <c r="D12">
        <f>SUMIFS(Revenue!$K:$K,Revenue!$A:$A,A12,Revenue!$B:$B,B12)</f>
      </c>
      <c r="E12">
        <f>SUMIFS(Costs!$O:$O,Costs!$A:$A,A12,Costs!$B:$B,B12)</f>
      </c>
      <c r="F12">
        <f>SUMIFS(Costs!$C:$C,Costs!$A:$A,A12,Costs!$B:$B,B12)</f>
      </c>
      <c r="G12">
        <f>SUMIFS(Costs!$D:$D,Costs!$A:$A,A12,Costs!$B:$B,B12)</f>
      </c>
      <c r="H12">
        <f>IF(F12=0,0,(SUMIFS(Costs!$E:$E,Costs!$A:$A,A12,Costs!$B:$B,B12)+SUMIFS(Costs!$F:$F,Costs!$A:$A,A12,Costs!$B:$B,B12))/F12)</f>
      </c>
      <c r="I12">
        <f>IF(G12=0,0,C12/G12)</f>
      </c>
      <c r="J12">
        <f>IF(G12=0,0,D12/G12)</f>
      </c>
      <c r="K12">
        <f>D12-E12</f>
      </c>
      <c r="L12">
        <f>IF(J12&lt;=0,0,H12/J12)</f>
      </c>
      <c r="M12">
        <f>IF(INDEX(Assumptions!$C:$E,MATCH("Net platform margin before OPEX",Assumptions!$B:$B,0),MATCH(B12,Assumptions!$C$3:$E$3,0))=0,0,E12/INDEX(Assumptions!$C:$E,MATCH("Net platform margin before OPEX",Assumptions!$B:$B,0),MATCH(B12,Assumptions!$C$3:$E$3,0)))</f>
      </c>
    </row>
    <row r="13">
      <c r="A13">
        <v>12</v>
      </c>
      <c r="B13" t="inlineStr">
        <is>
          <t>Conservative</t>
        </is>
      </c>
      <c r="C13">
        <f>SUMIFS(Revenue!$F:$F,Revenue!$A:$A,A13,Revenue!$B:$B,B13)</f>
      </c>
      <c r="D13">
        <f>SUMIFS(Revenue!$K:$K,Revenue!$A:$A,A13,Revenue!$B:$B,B13)</f>
      </c>
      <c r="E13">
        <f>SUMIFS(Costs!$O:$O,Costs!$A:$A,A13,Costs!$B:$B,B13)</f>
      </c>
      <c r="F13">
        <f>SUMIFS(Costs!$C:$C,Costs!$A:$A,A13,Costs!$B:$B,B13)</f>
      </c>
      <c r="G13">
        <f>SUMIFS(Costs!$D:$D,Costs!$A:$A,A13,Costs!$B:$B,B13)</f>
      </c>
      <c r="H13">
        <f>IF(F13=0,0,(SUMIFS(Costs!$E:$E,Costs!$A:$A,A13,Costs!$B:$B,B13)+SUMIFS(Costs!$F:$F,Costs!$A:$A,A13,Costs!$B:$B,B13))/F13)</f>
      </c>
      <c r="I13">
        <f>IF(G13=0,0,C13/G13)</f>
      </c>
      <c r="J13">
        <f>IF(G13=0,0,D13/G13)</f>
      </c>
      <c r="K13">
        <f>D13-E13</f>
      </c>
      <c r="L13">
        <f>IF(J13&lt;=0,0,H13/J13)</f>
      </c>
      <c r="M13">
        <f>IF(INDEX(Assumptions!$C:$E,MATCH("Net platform margin before OPEX",Assumptions!$B:$B,0),MATCH(B13,Assumptions!$C$3:$E$3,0))=0,0,E13/INDEX(Assumptions!$C:$E,MATCH("Net platform margin before OPEX",Assumptions!$B:$B,0),MATCH(B13,Assumptions!$C$3:$E$3,0)))</f>
      </c>
    </row>
    <row r="14">
      <c r="A14">
        <v>13</v>
      </c>
      <c r="B14" t="inlineStr">
        <is>
          <t>Conservative</t>
        </is>
      </c>
      <c r="C14">
        <f>SUMIFS(Revenue!$F:$F,Revenue!$A:$A,A14,Revenue!$B:$B,B14)</f>
      </c>
      <c r="D14">
        <f>SUMIFS(Revenue!$K:$K,Revenue!$A:$A,A14,Revenue!$B:$B,B14)</f>
      </c>
      <c r="E14">
        <f>SUMIFS(Costs!$O:$O,Costs!$A:$A,A14,Costs!$B:$B,B14)</f>
      </c>
      <c r="F14">
        <f>SUMIFS(Costs!$C:$C,Costs!$A:$A,A14,Costs!$B:$B,B14)</f>
      </c>
      <c r="G14">
        <f>SUMIFS(Costs!$D:$D,Costs!$A:$A,A14,Costs!$B:$B,B14)</f>
      </c>
      <c r="H14">
        <f>IF(F14=0,0,(SUMIFS(Costs!$E:$E,Costs!$A:$A,A14,Costs!$B:$B,B14)+SUMIFS(Costs!$F:$F,Costs!$A:$A,A14,Costs!$B:$B,B14))/F14)</f>
      </c>
      <c r="I14">
        <f>IF(G14=0,0,C14/G14)</f>
      </c>
      <c r="J14">
        <f>IF(G14=0,0,D14/G14)</f>
      </c>
      <c r="K14">
        <f>D14-E14</f>
      </c>
      <c r="L14">
        <f>IF(J14&lt;=0,0,H14/J14)</f>
      </c>
      <c r="M14">
        <f>IF(INDEX(Assumptions!$C:$E,MATCH("Net platform margin before OPEX",Assumptions!$B:$B,0),MATCH(B14,Assumptions!$C$3:$E$3,0))=0,0,E14/INDEX(Assumptions!$C:$E,MATCH("Net platform margin before OPEX",Assumptions!$B:$B,0),MATCH(B14,Assumptions!$C$3:$E$3,0)))</f>
      </c>
    </row>
    <row r="15">
      <c r="A15">
        <v>14</v>
      </c>
      <c r="B15" t="inlineStr">
        <is>
          <t>Conservative</t>
        </is>
      </c>
      <c r="C15">
        <f>SUMIFS(Revenue!$F:$F,Revenue!$A:$A,A15,Revenue!$B:$B,B15)</f>
      </c>
      <c r="D15">
        <f>SUMIFS(Revenue!$K:$K,Revenue!$A:$A,A15,Revenue!$B:$B,B15)</f>
      </c>
      <c r="E15">
        <f>SUMIFS(Costs!$O:$O,Costs!$A:$A,A15,Costs!$B:$B,B15)</f>
      </c>
      <c r="F15">
        <f>SUMIFS(Costs!$C:$C,Costs!$A:$A,A15,Costs!$B:$B,B15)</f>
      </c>
      <c r="G15">
        <f>SUMIFS(Costs!$D:$D,Costs!$A:$A,A15,Costs!$B:$B,B15)</f>
      </c>
      <c r="H15">
        <f>IF(F15=0,0,(SUMIFS(Costs!$E:$E,Costs!$A:$A,A15,Costs!$B:$B,B15)+SUMIFS(Costs!$F:$F,Costs!$A:$A,A15,Costs!$B:$B,B15))/F15)</f>
      </c>
      <c r="I15">
        <f>IF(G15=0,0,C15/G15)</f>
      </c>
      <c r="J15">
        <f>IF(G15=0,0,D15/G15)</f>
      </c>
      <c r="K15">
        <f>D15-E15</f>
      </c>
      <c r="L15">
        <f>IF(J15&lt;=0,0,H15/J15)</f>
      </c>
      <c r="M15">
        <f>IF(INDEX(Assumptions!$C:$E,MATCH("Net platform margin before OPEX",Assumptions!$B:$B,0),MATCH(B15,Assumptions!$C$3:$E$3,0))=0,0,E15/INDEX(Assumptions!$C:$E,MATCH("Net platform margin before OPEX",Assumptions!$B:$B,0),MATCH(B15,Assumptions!$C$3:$E$3,0)))</f>
      </c>
    </row>
    <row r="16">
      <c r="A16">
        <v>15</v>
      </c>
      <c r="B16" t="inlineStr">
        <is>
          <t>Conservative</t>
        </is>
      </c>
      <c r="C16">
        <f>SUMIFS(Revenue!$F:$F,Revenue!$A:$A,A16,Revenue!$B:$B,B16)</f>
      </c>
      <c r="D16">
        <f>SUMIFS(Revenue!$K:$K,Revenue!$A:$A,A16,Revenue!$B:$B,B16)</f>
      </c>
      <c r="E16">
        <f>SUMIFS(Costs!$O:$O,Costs!$A:$A,A16,Costs!$B:$B,B16)</f>
      </c>
      <c r="F16">
        <f>SUMIFS(Costs!$C:$C,Costs!$A:$A,A16,Costs!$B:$B,B16)</f>
      </c>
      <c r="G16">
        <f>SUMIFS(Costs!$D:$D,Costs!$A:$A,A16,Costs!$B:$B,B16)</f>
      </c>
      <c r="H16">
        <f>IF(F16=0,0,(SUMIFS(Costs!$E:$E,Costs!$A:$A,A16,Costs!$B:$B,B16)+SUMIFS(Costs!$F:$F,Costs!$A:$A,A16,Costs!$B:$B,B16))/F16)</f>
      </c>
      <c r="I16">
        <f>IF(G16=0,0,C16/G16)</f>
      </c>
      <c r="J16">
        <f>IF(G16=0,0,D16/G16)</f>
      </c>
      <c r="K16">
        <f>D16-E16</f>
      </c>
      <c r="L16">
        <f>IF(J16&lt;=0,0,H16/J16)</f>
      </c>
      <c r="M16">
        <f>IF(INDEX(Assumptions!$C:$E,MATCH("Net platform margin before OPEX",Assumptions!$B:$B,0),MATCH(B16,Assumptions!$C$3:$E$3,0))=0,0,E16/INDEX(Assumptions!$C:$E,MATCH("Net platform margin before OPEX",Assumptions!$B:$B,0),MATCH(B16,Assumptions!$C$3:$E$3,0)))</f>
      </c>
    </row>
    <row r="17">
      <c r="A17">
        <v>16</v>
      </c>
      <c r="B17" t="inlineStr">
        <is>
          <t>Conservative</t>
        </is>
      </c>
      <c r="C17">
        <f>SUMIFS(Revenue!$F:$F,Revenue!$A:$A,A17,Revenue!$B:$B,B17)</f>
      </c>
      <c r="D17">
        <f>SUMIFS(Revenue!$K:$K,Revenue!$A:$A,A17,Revenue!$B:$B,B17)</f>
      </c>
      <c r="E17">
        <f>SUMIFS(Costs!$O:$O,Costs!$A:$A,A17,Costs!$B:$B,B17)</f>
      </c>
      <c r="F17">
        <f>SUMIFS(Costs!$C:$C,Costs!$A:$A,A17,Costs!$B:$B,B17)</f>
      </c>
      <c r="G17">
        <f>SUMIFS(Costs!$D:$D,Costs!$A:$A,A17,Costs!$B:$B,B17)</f>
      </c>
      <c r="H17">
        <f>IF(F17=0,0,(SUMIFS(Costs!$E:$E,Costs!$A:$A,A17,Costs!$B:$B,B17)+SUMIFS(Costs!$F:$F,Costs!$A:$A,A17,Costs!$B:$B,B17))/F17)</f>
      </c>
      <c r="I17">
        <f>IF(G17=0,0,C17/G17)</f>
      </c>
      <c r="J17">
        <f>IF(G17=0,0,D17/G17)</f>
      </c>
      <c r="K17">
        <f>D17-E17</f>
      </c>
      <c r="L17">
        <f>IF(J17&lt;=0,0,H17/J17)</f>
      </c>
      <c r="M17">
        <f>IF(INDEX(Assumptions!$C:$E,MATCH("Net platform margin before OPEX",Assumptions!$B:$B,0),MATCH(B17,Assumptions!$C$3:$E$3,0))=0,0,E17/INDEX(Assumptions!$C:$E,MATCH("Net platform margin before OPEX",Assumptions!$B:$B,0),MATCH(B17,Assumptions!$C$3:$E$3,0)))</f>
      </c>
    </row>
    <row r="18">
      <c r="A18">
        <v>17</v>
      </c>
      <c r="B18" t="inlineStr">
        <is>
          <t>Conservative</t>
        </is>
      </c>
      <c r="C18">
        <f>SUMIFS(Revenue!$F:$F,Revenue!$A:$A,A18,Revenue!$B:$B,B18)</f>
      </c>
      <c r="D18">
        <f>SUMIFS(Revenue!$K:$K,Revenue!$A:$A,A18,Revenue!$B:$B,B18)</f>
      </c>
      <c r="E18">
        <f>SUMIFS(Costs!$O:$O,Costs!$A:$A,A18,Costs!$B:$B,B18)</f>
      </c>
      <c r="F18">
        <f>SUMIFS(Costs!$C:$C,Costs!$A:$A,A18,Costs!$B:$B,B18)</f>
      </c>
      <c r="G18">
        <f>SUMIFS(Costs!$D:$D,Costs!$A:$A,A18,Costs!$B:$B,B18)</f>
      </c>
      <c r="H18">
        <f>IF(F18=0,0,(SUMIFS(Costs!$E:$E,Costs!$A:$A,A18,Costs!$B:$B,B18)+SUMIFS(Costs!$F:$F,Costs!$A:$A,A18,Costs!$B:$B,B18))/F18)</f>
      </c>
      <c r="I18">
        <f>IF(G18=0,0,C18/G18)</f>
      </c>
      <c r="J18">
        <f>IF(G18=0,0,D18/G18)</f>
      </c>
      <c r="K18">
        <f>D18-E18</f>
      </c>
      <c r="L18">
        <f>IF(J18&lt;=0,0,H18/J18)</f>
      </c>
      <c r="M18">
        <f>IF(INDEX(Assumptions!$C:$E,MATCH("Net platform margin before OPEX",Assumptions!$B:$B,0),MATCH(B18,Assumptions!$C$3:$E$3,0))=0,0,E18/INDEX(Assumptions!$C:$E,MATCH("Net platform margin before OPEX",Assumptions!$B:$B,0),MATCH(B18,Assumptions!$C$3:$E$3,0)))</f>
      </c>
    </row>
    <row r="19">
      <c r="A19">
        <v>18</v>
      </c>
      <c r="B19" t="inlineStr">
        <is>
          <t>Conservative</t>
        </is>
      </c>
      <c r="C19">
        <f>SUMIFS(Revenue!$F:$F,Revenue!$A:$A,A19,Revenue!$B:$B,B19)</f>
      </c>
      <c r="D19">
        <f>SUMIFS(Revenue!$K:$K,Revenue!$A:$A,A19,Revenue!$B:$B,B19)</f>
      </c>
      <c r="E19">
        <f>SUMIFS(Costs!$O:$O,Costs!$A:$A,A19,Costs!$B:$B,B19)</f>
      </c>
      <c r="F19">
        <f>SUMIFS(Costs!$C:$C,Costs!$A:$A,A19,Costs!$B:$B,B19)</f>
      </c>
      <c r="G19">
        <f>SUMIFS(Costs!$D:$D,Costs!$A:$A,A19,Costs!$B:$B,B19)</f>
      </c>
      <c r="H19">
        <f>IF(F19=0,0,(SUMIFS(Costs!$E:$E,Costs!$A:$A,A19,Costs!$B:$B,B19)+SUMIFS(Costs!$F:$F,Costs!$A:$A,A19,Costs!$B:$B,B19))/F19)</f>
      </c>
      <c r="I19">
        <f>IF(G19=0,0,C19/G19)</f>
      </c>
      <c r="J19">
        <f>IF(G19=0,0,D19/G19)</f>
      </c>
      <c r="K19">
        <f>D19-E19</f>
      </c>
      <c r="L19">
        <f>IF(J19&lt;=0,0,H19/J19)</f>
      </c>
      <c r="M19">
        <f>IF(INDEX(Assumptions!$C:$E,MATCH("Net platform margin before OPEX",Assumptions!$B:$B,0),MATCH(B19,Assumptions!$C$3:$E$3,0))=0,0,E19/INDEX(Assumptions!$C:$E,MATCH("Net platform margin before OPEX",Assumptions!$B:$B,0),MATCH(B19,Assumptions!$C$3:$E$3,0)))</f>
      </c>
    </row>
    <row r="20">
      <c r="A20">
        <v>19</v>
      </c>
      <c r="B20" t="inlineStr">
        <is>
          <t>Conservative</t>
        </is>
      </c>
      <c r="C20">
        <f>SUMIFS(Revenue!$F:$F,Revenue!$A:$A,A20,Revenue!$B:$B,B20)</f>
      </c>
      <c r="D20">
        <f>SUMIFS(Revenue!$K:$K,Revenue!$A:$A,A20,Revenue!$B:$B,B20)</f>
      </c>
      <c r="E20">
        <f>SUMIFS(Costs!$O:$O,Costs!$A:$A,A20,Costs!$B:$B,B20)</f>
      </c>
      <c r="F20">
        <f>SUMIFS(Costs!$C:$C,Costs!$A:$A,A20,Costs!$B:$B,B20)</f>
      </c>
      <c r="G20">
        <f>SUMIFS(Costs!$D:$D,Costs!$A:$A,A20,Costs!$B:$B,B20)</f>
      </c>
      <c r="H20">
        <f>IF(F20=0,0,(SUMIFS(Costs!$E:$E,Costs!$A:$A,A20,Costs!$B:$B,B20)+SUMIFS(Costs!$F:$F,Costs!$A:$A,A20,Costs!$B:$B,B20))/F20)</f>
      </c>
      <c r="I20">
        <f>IF(G20=0,0,C20/G20)</f>
      </c>
      <c r="J20">
        <f>IF(G20=0,0,D20/G20)</f>
      </c>
      <c r="K20">
        <f>D20-E20</f>
      </c>
      <c r="L20">
        <f>IF(J20&lt;=0,0,H20/J20)</f>
      </c>
      <c r="M20">
        <f>IF(INDEX(Assumptions!$C:$E,MATCH("Net platform margin before OPEX",Assumptions!$B:$B,0),MATCH(B20,Assumptions!$C$3:$E$3,0))=0,0,E20/INDEX(Assumptions!$C:$E,MATCH("Net platform margin before OPEX",Assumptions!$B:$B,0),MATCH(B20,Assumptions!$C$3:$E$3,0)))</f>
      </c>
    </row>
    <row r="21">
      <c r="A21">
        <v>20</v>
      </c>
      <c r="B21" t="inlineStr">
        <is>
          <t>Conservative</t>
        </is>
      </c>
      <c r="C21">
        <f>SUMIFS(Revenue!$F:$F,Revenue!$A:$A,A21,Revenue!$B:$B,B21)</f>
      </c>
      <c r="D21">
        <f>SUMIFS(Revenue!$K:$K,Revenue!$A:$A,A21,Revenue!$B:$B,B21)</f>
      </c>
      <c r="E21">
        <f>SUMIFS(Costs!$O:$O,Costs!$A:$A,A21,Costs!$B:$B,B21)</f>
      </c>
      <c r="F21">
        <f>SUMIFS(Costs!$C:$C,Costs!$A:$A,A21,Costs!$B:$B,B21)</f>
      </c>
      <c r="G21">
        <f>SUMIFS(Costs!$D:$D,Costs!$A:$A,A21,Costs!$B:$B,B21)</f>
      </c>
      <c r="H21">
        <f>IF(F21=0,0,(SUMIFS(Costs!$E:$E,Costs!$A:$A,A21,Costs!$B:$B,B21)+SUMIFS(Costs!$F:$F,Costs!$A:$A,A21,Costs!$B:$B,B21))/F21)</f>
      </c>
      <c r="I21">
        <f>IF(G21=0,0,C21/G21)</f>
      </c>
      <c r="J21">
        <f>IF(G21=0,0,D21/G21)</f>
      </c>
      <c r="K21">
        <f>D21-E21</f>
      </c>
      <c r="L21">
        <f>IF(J21&lt;=0,0,H21/J21)</f>
      </c>
      <c r="M21">
        <f>IF(INDEX(Assumptions!$C:$E,MATCH("Net platform margin before OPEX",Assumptions!$B:$B,0),MATCH(B21,Assumptions!$C$3:$E$3,0))=0,0,E21/INDEX(Assumptions!$C:$E,MATCH("Net platform margin before OPEX",Assumptions!$B:$B,0),MATCH(B21,Assumptions!$C$3:$E$3,0)))</f>
      </c>
    </row>
    <row r="22">
      <c r="A22">
        <v>21</v>
      </c>
      <c r="B22" t="inlineStr">
        <is>
          <t>Conservative</t>
        </is>
      </c>
      <c r="C22">
        <f>SUMIFS(Revenue!$F:$F,Revenue!$A:$A,A22,Revenue!$B:$B,B22)</f>
      </c>
      <c r="D22">
        <f>SUMIFS(Revenue!$K:$K,Revenue!$A:$A,A22,Revenue!$B:$B,B22)</f>
      </c>
      <c r="E22">
        <f>SUMIFS(Costs!$O:$O,Costs!$A:$A,A22,Costs!$B:$B,B22)</f>
      </c>
      <c r="F22">
        <f>SUMIFS(Costs!$C:$C,Costs!$A:$A,A22,Costs!$B:$B,B22)</f>
      </c>
      <c r="G22">
        <f>SUMIFS(Costs!$D:$D,Costs!$A:$A,A22,Costs!$B:$B,B22)</f>
      </c>
      <c r="H22">
        <f>IF(F22=0,0,(SUMIFS(Costs!$E:$E,Costs!$A:$A,A22,Costs!$B:$B,B22)+SUMIFS(Costs!$F:$F,Costs!$A:$A,A22,Costs!$B:$B,B22))/F22)</f>
      </c>
      <c r="I22">
        <f>IF(G22=0,0,C22/G22)</f>
      </c>
      <c r="J22">
        <f>IF(G22=0,0,D22/G22)</f>
      </c>
      <c r="K22">
        <f>D22-E22</f>
      </c>
      <c r="L22">
        <f>IF(J22&lt;=0,0,H22/J22)</f>
      </c>
      <c r="M22">
        <f>IF(INDEX(Assumptions!$C:$E,MATCH("Net platform margin before OPEX",Assumptions!$B:$B,0),MATCH(B22,Assumptions!$C$3:$E$3,0))=0,0,E22/INDEX(Assumptions!$C:$E,MATCH("Net platform margin before OPEX",Assumptions!$B:$B,0),MATCH(B22,Assumptions!$C$3:$E$3,0)))</f>
      </c>
    </row>
    <row r="23">
      <c r="A23">
        <v>22</v>
      </c>
      <c r="B23" t="inlineStr">
        <is>
          <t>Conservative</t>
        </is>
      </c>
      <c r="C23">
        <f>SUMIFS(Revenue!$F:$F,Revenue!$A:$A,A23,Revenue!$B:$B,B23)</f>
      </c>
      <c r="D23">
        <f>SUMIFS(Revenue!$K:$K,Revenue!$A:$A,A23,Revenue!$B:$B,B23)</f>
      </c>
      <c r="E23">
        <f>SUMIFS(Costs!$O:$O,Costs!$A:$A,A23,Costs!$B:$B,B23)</f>
      </c>
      <c r="F23">
        <f>SUMIFS(Costs!$C:$C,Costs!$A:$A,A23,Costs!$B:$B,B23)</f>
      </c>
      <c r="G23">
        <f>SUMIFS(Costs!$D:$D,Costs!$A:$A,A23,Costs!$B:$B,B23)</f>
      </c>
      <c r="H23">
        <f>IF(F23=0,0,(SUMIFS(Costs!$E:$E,Costs!$A:$A,A23,Costs!$B:$B,B23)+SUMIFS(Costs!$F:$F,Costs!$A:$A,A23,Costs!$B:$B,B23))/F23)</f>
      </c>
      <c r="I23">
        <f>IF(G23=0,0,C23/G23)</f>
      </c>
      <c r="J23">
        <f>IF(G23=0,0,D23/G23)</f>
      </c>
      <c r="K23">
        <f>D23-E23</f>
      </c>
      <c r="L23">
        <f>IF(J23&lt;=0,0,H23/J23)</f>
      </c>
      <c r="M23">
        <f>IF(INDEX(Assumptions!$C:$E,MATCH("Net platform margin before OPEX",Assumptions!$B:$B,0),MATCH(B23,Assumptions!$C$3:$E$3,0))=0,0,E23/INDEX(Assumptions!$C:$E,MATCH("Net platform margin before OPEX",Assumptions!$B:$B,0),MATCH(B23,Assumptions!$C$3:$E$3,0)))</f>
      </c>
    </row>
    <row r="24">
      <c r="A24">
        <v>23</v>
      </c>
      <c r="B24" t="inlineStr">
        <is>
          <t>Conservative</t>
        </is>
      </c>
      <c r="C24">
        <f>SUMIFS(Revenue!$F:$F,Revenue!$A:$A,A24,Revenue!$B:$B,B24)</f>
      </c>
      <c r="D24">
        <f>SUMIFS(Revenue!$K:$K,Revenue!$A:$A,A24,Revenue!$B:$B,B24)</f>
      </c>
      <c r="E24">
        <f>SUMIFS(Costs!$O:$O,Costs!$A:$A,A24,Costs!$B:$B,B24)</f>
      </c>
      <c r="F24">
        <f>SUMIFS(Costs!$C:$C,Costs!$A:$A,A24,Costs!$B:$B,B24)</f>
      </c>
      <c r="G24">
        <f>SUMIFS(Costs!$D:$D,Costs!$A:$A,A24,Costs!$B:$B,B24)</f>
      </c>
      <c r="H24">
        <f>IF(F24=0,0,(SUMIFS(Costs!$E:$E,Costs!$A:$A,A24,Costs!$B:$B,B24)+SUMIFS(Costs!$F:$F,Costs!$A:$A,A24,Costs!$B:$B,B24))/F24)</f>
      </c>
      <c r="I24">
        <f>IF(G24=0,0,C24/G24)</f>
      </c>
      <c r="J24">
        <f>IF(G24=0,0,D24/G24)</f>
      </c>
      <c r="K24">
        <f>D24-E24</f>
      </c>
      <c r="L24">
        <f>IF(J24&lt;=0,0,H24/J24)</f>
      </c>
      <c r="M24">
        <f>IF(INDEX(Assumptions!$C:$E,MATCH("Net platform margin before OPEX",Assumptions!$B:$B,0),MATCH(B24,Assumptions!$C$3:$E$3,0))=0,0,E24/INDEX(Assumptions!$C:$E,MATCH("Net platform margin before OPEX",Assumptions!$B:$B,0),MATCH(B24,Assumptions!$C$3:$E$3,0)))</f>
      </c>
    </row>
    <row r="25">
      <c r="A25">
        <v>24</v>
      </c>
      <c r="B25" t="inlineStr">
        <is>
          <t>Conservative</t>
        </is>
      </c>
      <c r="C25">
        <f>SUMIFS(Revenue!$F:$F,Revenue!$A:$A,A25,Revenue!$B:$B,B25)</f>
      </c>
      <c r="D25">
        <f>SUMIFS(Revenue!$K:$K,Revenue!$A:$A,A25,Revenue!$B:$B,B25)</f>
      </c>
      <c r="E25">
        <f>SUMIFS(Costs!$O:$O,Costs!$A:$A,A25,Costs!$B:$B,B25)</f>
      </c>
      <c r="F25">
        <f>SUMIFS(Costs!$C:$C,Costs!$A:$A,A25,Costs!$B:$B,B25)</f>
      </c>
      <c r="G25">
        <f>SUMIFS(Costs!$D:$D,Costs!$A:$A,A25,Costs!$B:$B,B25)</f>
      </c>
      <c r="H25">
        <f>IF(F25=0,0,(SUMIFS(Costs!$E:$E,Costs!$A:$A,A25,Costs!$B:$B,B25)+SUMIFS(Costs!$F:$F,Costs!$A:$A,A25,Costs!$B:$B,B25))/F25)</f>
      </c>
      <c r="I25">
        <f>IF(G25=0,0,C25/G25)</f>
      </c>
      <c r="J25">
        <f>IF(G25=0,0,D25/G25)</f>
      </c>
      <c r="K25">
        <f>D25-E25</f>
      </c>
      <c r="L25">
        <f>IF(J25&lt;=0,0,H25/J25)</f>
      </c>
      <c r="M25">
        <f>IF(INDEX(Assumptions!$C:$E,MATCH("Net platform margin before OPEX",Assumptions!$B:$B,0),MATCH(B25,Assumptions!$C$3:$E$3,0))=0,0,E25/INDEX(Assumptions!$C:$E,MATCH("Net platform margin before OPEX",Assumptions!$B:$B,0),MATCH(B25,Assumptions!$C$3:$E$3,0)))</f>
      </c>
    </row>
    <row r="26">
      <c r="A26">
        <v>25</v>
      </c>
      <c r="B26" t="inlineStr">
        <is>
          <t>Conservative</t>
        </is>
      </c>
      <c r="C26">
        <f>SUMIFS(Revenue!$F:$F,Revenue!$A:$A,A26,Revenue!$B:$B,B26)</f>
      </c>
      <c r="D26">
        <f>SUMIFS(Revenue!$K:$K,Revenue!$A:$A,A26,Revenue!$B:$B,B26)</f>
      </c>
      <c r="E26">
        <f>SUMIFS(Costs!$O:$O,Costs!$A:$A,A26,Costs!$B:$B,B26)</f>
      </c>
      <c r="F26">
        <f>SUMIFS(Costs!$C:$C,Costs!$A:$A,A26,Costs!$B:$B,B26)</f>
      </c>
      <c r="G26">
        <f>SUMIFS(Costs!$D:$D,Costs!$A:$A,A26,Costs!$B:$B,B26)</f>
      </c>
      <c r="H26">
        <f>IF(F26=0,0,(SUMIFS(Costs!$E:$E,Costs!$A:$A,A26,Costs!$B:$B,B26)+SUMIFS(Costs!$F:$F,Costs!$A:$A,A26,Costs!$B:$B,B26))/F26)</f>
      </c>
      <c r="I26">
        <f>IF(G26=0,0,C26/G26)</f>
      </c>
      <c r="J26">
        <f>IF(G26=0,0,D26/G26)</f>
      </c>
      <c r="K26">
        <f>D26-E26</f>
      </c>
      <c r="L26">
        <f>IF(J26&lt;=0,0,H26/J26)</f>
      </c>
      <c r="M26">
        <f>IF(INDEX(Assumptions!$C:$E,MATCH("Net platform margin before OPEX",Assumptions!$B:$B,0),MATCH(B26,Assumptions!$C$3:$E$3,0))=0,0,E26/INDEX(Assumptions!$C:$E,MATCH("Net platform margin before OPEX",Assumptions!$B:$B,0),MATCH(B26,Assumptions!$C$3:$E$3,0)))</f>
      </c>
    </row>
    <row r="27">
      <c r="A27">
        <v>26</v>
      </c>
      <c r="B27" t="inlineStr">
        <is>
          <t>Conservative</t>
        </is>
      </c>
      <c r="C27">
        <f>SUMIFS(Revenue!$F:$F,Revenue!$A:$A,A27,Revenue!$B:$B,B27)</f>
      </c>
      <c r="D27">
        <f>SUMIFS(Revenue!$K:$K,Revenue!$A:$A,A27,Revenue!$B:$B,B27)</f>
      </c>
      <c r="E27">
        <f>SUMIFS(Costs!$O:$O,Costs!$A:$A,A27,Costs!$B:$B,B27)</f>
      </c>
      <c r="F27">
        <f>SUMIFS(Costs!$C:$C,Costs!$A:$A,A27,Costs!$B:$B,B27)</f>
      </c>
      <c r="G27">
        <f>SUMIFS(Costs!$D:$D,Costs!$A:$A,A27,Costs!$B:$B,B27)</f>
      </c>
      <c r="H27">
        <f>IF(F27=0,0,(SUMIFS(Costs!$E:$E,Costs!$A:$A,A27,Costs!$B:$B,B27)+SUMIFS(Costs!$F:$F,Costs!$A:$A,A27,Costs!$B:$B,B27))/F27)</f>
      </c>
      <c r="I27">
        <f>IF(G27=0,0,C27/G27)</f>
      </c>
      <c r="J27">
        <f>IF(G27=0,0,D27/G27)</f>
      </c>
      <c r="K27">
        <f>D27-E27</f>
      </c>
      <c r="L27">
        <f>IF(J27&lt;=0,0,H27/J27)</f>
      </c>
      <c r="M27">
        <f>IF(INDEX(Assumptions!$C:$E,MATCH("Net platform margin before OPEX",Assumptions!$B:$B,0),MATCH(B27,Assumptions!$C$3:$E$3,0))=0,0,E27/INDEX(Assumptions!$C:$E,MATCH("Net platform margin before OPEX",Assumptions!$B:$B,0),MATCH(B27,Assumptions!$C$3:$E$3,0)))</f>
      </c>
    </row>
    <row r="28">
      <c r="A28">
        <v>27</v>
      </c>
      <c r="B28" t="inlineStr">
        <is>
          <t>Conservative</t>
        </is>
      </c>
      <c r="C28">
        <f>SUMIFS(Revenue!$F:$F,Revenue!$A:$A,A28,Revenue!$B:$B,B28)</f>
      </c>
      <c r="D28">
        <f>SUMIFS(Revenue!$K:$K,Revenue!$A:$A,A28,Revenue!$B:$B,B28)</f>
      </c>
      <c r="E28">
        <f>SUMIFS(Costs!$O:$O,Costs!$A:$A,A28,Costs!$B:$B,B28)</f>
      </c>
      <c r="F28">
        <f>SUMIFS(Costs!$C:$C,Costs!$A:$A,A28,Costs!$B:$B,B28)</f>
      </c>
      <c r="G28">
        <f>SUMIFS(Costs!$D:$D,Costs!$A:$A,A28,Costs!$B:$B,B28)</f>
      </c>
      <c r="H28">
        <f>IF(F28=0,0,(SUMIFS(Costs!$E:$E,Costs!$A:$A,A28,Costs!$B:$B,B28)+SUMIFS(Costs!$F:$F,Costs!$A:$A,A28,Costs!$B:$B,B28))/F28)</f>
      </c>
      <c r="I28">
        <f>IF(G28=0,0,C28/G28)</f>
      </c>
      <c r="J28">
        <f>IF(G28=0,0,D28/G28)</f>
      </c>
      <c r="K28">
        <f>D28-E28</f>
      </c>
      <c r="L28">
        <f>IF(J28&lt;=0,0,H28/J28)</f>
      </c>
      <c r="M28">
        <f>IF(INDEX(Assumptions!$C:$E,MATCH("Net platform margin before OPEX",Assumptions!$B:$B,0),MATCH(B28,Assumptions!$C$3:$E$3,0))=0,0,E28/INDEX(Assumptions!$C:$E,MATCH("Net platform margin before OPEX",Assumptions!$B:$B,0),MATCH(B28,Assumptions!$C$3:$E$3,0)))</f>
      </c>
    </row>
    <row r="29">
      <c r="A29">
        <v>28</v>
      </c>
      <c r="B29" t="inlineStr">
        <is>
          <t>Conservative</t>
        </is>
      </c>
      <c r="C29">
        <f>SUMIFS(Revenue!$F:$F,Revenue!$A:$A,A29,Revenue!$B:$B,B29)</f>
      </c>
      <c r="D29">
        <f>SUMIFS(Revenue!$K:$K,Revenue!$A:$A,A29,Revenue!$B:$B,B29)</f>
      </c>
      <c r="E29">
        <f>SUMIFS(Costs!$O:$O,Costs!$A:$A,A29,Costs!$B:$B,B29)</f>
      </c>
      <c r="F29">
        <f>SUMIFS(Costs!$C:$C,Costs!$A:$A,A29,Costs!$B:$B,B29)</f>
      </c>
      <c r="G29">
        <f>SUMIFS(Costs!$D:$D,Costs!$A:$A,A29,Costs!$B:$B,B29)</f>
      </c>
      <c r="H29">
        <f>IF(F29=0,0,(SUMIFS(Costs!$E:$E,Costs!$A:$A,A29,Costs!$B:$B,B29)+SUMIFS(Costs!$F:$F,Costs!$A:$A,A29,Costs!$B:$B,B29))/F29)</f>
      </c>
      <c r="I29">
        <f>IF(G29=0,0,C29/G29)</f>
      </c>
      <c r="J29">
        <f>IF(G29=0,0,D29/G29)</f>
      </c>
      <c r="K29">
        <f>D29-E29</f>
      </c>
      <c r="L29">
        <f>IF(J29&lt;=0,0,H29/J29)</f>
      </c>
      <c r="M29">
        <f>IF(INDEX(Assumptions!$C:$E,MATCH("Net platform margin before OPEX",Assumptions!$B:$B,0),MATCH(B29,Assumptions!$C$3:$E$3,0))=0,0,E29/INDEX(Assumptions!$C:$E,MATCH("Net platform margin before OPEX",Assumptions!$B:$B,0),MATCH(B29,Assumptions!$C$3:$E$3,0)))</f>
      </c>
    </row>
    <row r="30">
      <c r="A30">
        <v>29</v>
      </c>
      <c r="B30" t="inlineStr">
        <is>
          <t>Conservative</t>
        </is>
      </c>
      <c r="C30">
        <f>SUMIFS(Revenue!$F:$F,Revenue!$A:$A,A30,Revenue!$B:$B,B30)</f>
      </c>
      <c r="D30">
        <f>SUMIFS(Revenue!$K:$K,Revenue!$A:$A,A30,Revenue!$B:$B,B30)</f>
      </c>
      <c r="E30">
        <f>SUMIFS(Costs!$O:$O,Costs!$A:$A,A30,Costs!$B:$B,B30)</f>
      </c>
      <c r="F30">
        <f>SUMIFS(Costs!$C:$C,Costs!$A:$A,A30,Costs!$B:$B,B30)</f>
      </c>
      <c r="G30">
        <f>SUMIFS(Costs!$D:$D,Costs!$A:$A,A30,Costs!$B:$B,B30)</f>
      </c>
      <c r="H30">
        <f>IF(F30=0,0,(SUMIFS(Costs!$E:$E,Costs!$A:$A,A30,Costs!$B:$B,B30)+SUMIFS(Costs!$F:$F,Costs!$A:$A,A30,Costs!$B:$B,B30))/F30)</f>
      </c>
      <c r="I30">
        <f>IF(G30=0,0,C30/G30)</f>
      </c>
      <c r="J30">
        <f>IF(G30=0,0,D30/G30)</f>
      </c>
      <c r="K30">
        <f>D30-E30</f>
      </c>
      <c r="L30">
        <f>IF(J30&lt;=0,0,H30/J30)</f>
      </c>
      <c r="M30">
        <f>IF(INDEX(Assumptions!$C:$E,MATCH("Net platform margin before OPEX",Assumptions!$B:$B,0),MATCH(B30,Assumptions!$C$3:$E$3,0))=0,0,E30/INDEX(Assumptions!$C:$E,MATCH("Net platform margin before OPEX",Assumptions!$B:$B,0),MATCH(B30,Assumptions!$C$3:$E$3,0)))</f>
      </c>
    </row>
    <row r="31">
      <c r="A31">
        <v>30</v>
      </c>
      <c r="B31" t="inlineStr">
        <is>
          <t>Conservative</t>
        </is>
      </c>
      <c r="C31">
        <f>SUMIFS(Revenue!$F:$F,Revenue!$A:$A,A31,Revenue!$B:$B,B31)</f>
      </c>
      <c r="D31">
        <f>SUMIFS(Revenue!$K:$K,Revenue!$A:$A,A31,Revenue!$B:$B,B31)</f>
      </c>
      <c r="E31">
        <f>SUMIFS(Costs!$O:$O,Costs!$A:$A,A31,Costs!$B:$B,B31)</f>
      </c>
      <c r="F31">
        <f>SUMIFS(Costs!$C:$C,Costs!$A:$A,A31,Costs!$B:$B,B31)</f>
      </c>
      <c r="G31">
        <f>SUMIFS(Costs!$D:$D,Costs!$A:$A,A31,Costs!$B:$B,B31)</f>
      </c>
      <c r="H31">
        <f>IF(F31=0,0,(SUMIFS(Costs!$E:$E,Costs!$A:$A,A31,Costs!$B:$B,B31)+SUMIFS(Costs!$F:$F,Costs!$A:$A,A31,Costs!$B:$B,B31))/F31)</f>
      </c>
      <c r="I31">
        <f>IF(G31=0,0,C31/G31)</f>
      </c>
      <c r="J31">
        <f>IF(G31=0,0,D31/G31)</f>
      </c>
      <c r="K31">
        <f>D31-E31</f>
      </c>
      <c r="L31">
        <f>IF(J31&lt;=0,0,H31/J31)</f>
      </c>
      <c r="M31">
        <f>IF(INDEX(Assumptions!$C:$E,MATCH("Net platform margin before OPEX",Assumptions!$B:$B,0),MATCH(B31,Assumptions!$C$3:$E$3,0))=0,0,E31/INDEX(Assumptions!$C:$E,MATCH("Net platform margin before OPEX",Assumptions!$B:$B,0),MATCH(B31,Assumptions!$C$3:$E$3,0)))</f>
      </c>
    </row>
    <row r="32">
      <c r="A32">
        <v>31</v>
      </c>
      <c r="B32" t="inlineStr">
        <is>
          <t>Conservative</t>
        </is>
      </c>
      <c r="C32">
        <f>SUMIFS(Revenue!$F:$F,Revenue!$A:$A,A32,Revenue!$B:$B,B32)</f>
      </c>
      <c r="D32">
        <f>SUMIFS(Revenue!$K:$K,Revenue!$A:$A,A32,Revenue!$B:$B,B32)</f>
      </c>
      <c r="E32">
        <f>SUMIFS(Costs!$O:$O,Costs!$A:$A,A32,Costs!$B:$B,B32)</f>
      </c>
      <c r="F32">
        <f>SUMIFS(Costs!$C:$C,Costs!$A:$A,A32,Costs!$B:$B,B32)</f>
      </c>
      <c r="G32">
        <f>SUMIFS(Costs!$D:$D,Costs!$A:$A,A32,Costs!$B:$B,B32)</f>
      </c>
      <c r="H32">
        <f>IF(F32=0,0,(SUMIFS(Costs!$E:$E,Costs!$A:$A,A32,Costs!$B:$B,B32)+SUMIFS(Costs!$F:$F,Costs!$A:$A,A32,Costs!$B:$B,B32))/F32)</f>
      </c>
      <c r="I32">
        <f>IF(G32=0,0,C32/G32)</f>
      </c>
      <c r="J32">
        <f>IF(G32=0,0,D32/G32)</f>
      </c>
      <c r="K32">
        <f>D32-E32</f>
      </c>
      <c r="L32">
        <f>IF(J32&lt;=0,0,H32/J32)</f>
      </c>
      <c r="M32">
        <f>IF(INDEX(Assumptions!$C:$E,MATCH("Net platform margin before OPEX",Assumptions!$B:$B,0),MATCH(B32,Assumptions!$C$3:$E$3,0))=0,0,E32/INDEX(Assumptions!$C:$E,MATCH("Net platform margin before OPEX",Assumptions!$B:$B,0),MATCH(B32,Assumptions!$C$3:$E$3,0)))</f>
      </c>
    </row>
    <row r="33">
      <c r="A33">
        <v>32</v>
      </c>
      <c r="B33" t="inlineStr">
        <is>
          <t>Conservative</t>
        </is>
      </c>
      <c r="C33">
        <f>SUMIFS(Revenue!$F:$F,Revenue!$A:$A,A33,Revenue!$B:$B,B33)</f>
      </c>
      <c r="D33">
        <f>SUMIFS(Revenue!$K:$K,Revenue!$A:$A,A33,Revenue!$B:$B,B33)</f>
      </c>
      <c r="E33">
        <f>SUMIFS(Costs!$O:$O,Costs!$A:$A,A33,Costs!$B:$B,B33)</f>
      </c>
      <c r="F33">
        <f>SUMIFS(Costs!$C:$C,Costs!$A:$A,A33,Costs!$B:$B,B33)</f>
      </c>
      <c r="G33">
        <f>SUMIFS(Costs!$D:$D,Costs!$A:$A,A33,Costs!$B:$B,B33)</f>
      </c>
      <c r="H33">
        <f>IF(F33=0,0,(SUMIFS(Costs!$E:$E,Costs!$A:$A,A33,Costs!$B:$B,B33)+SUMIFS(Costs!$F:$F,Costs!$A:$A,A33,Costs!$B:$B,B33))/F33)</f>
      </c>
      <c r="I33">
        <f>IF(G33=0,0,C33/G33)</f>
      </c>
      <c r="J33">
        <f>IF(G33=0,0,D33/G33)</f>
      </c>
      <c r="K33">
        <f>D33-E33</f>
      </c>
      <c r="L33">
        <f>IF(J33&lt;=0,0,H33/J33)</f>
      </c>
      <c r="M33">
        <f>IF(INDEX(Assumptions!$C:$E,MATCH("Net platform margin before OPEX",Assumptions!$B:$B,0),MATCH(B33,Assumptions!$C$3:$E$3,0))=0,0,E33/INDEX(Assumptions!$C:$E,MATCH("Net platform margin before OPEX",Assumptions!$B:$B,0),MATCH(B33,Assumptions!$C$3:$E$3,0)))</f>
      </c>
    </row>
    <row r="34">
      <c r="A34">
        <v>33</v>
      </c>
      <c r="B34" t="inlineStr">
        <is>
          <t>Conservative</t>
        </is>
      </c>
      <c r="C34">
        <f>SUMIFS(Revenue!$F:$F,Revenue!$A:$A,A34,Revenue!$B:$B,B34)</f>
      </c>
      <c r="D34">
        <f>SUMIFS(Revenue!$K:$K,Revenue!$A:$A,A34,Revenue!$B:$B,B34)</f>
      </c>
      <c r="E34">
        <f>SUMIFS(Costs!$O:$O,Costs!$A:$A,A34,Costs!$B:$B,B34)</f>
      </c>
      <c r="F34">
        <f>SUMIFS(Costs!$C:$C,Costs!$A:$A,A34,Costs!$B:$B,B34)</f>
      </c>
      <c r="G34">
        <f>SUMIFS(Costs!$D:$D,Costs!$A:$A,A34,Costs!$B:$B,B34)</f>
      </c>
      <c r="H34">
        <f>IF(F34=0,0,(SUMIFS(Costs!$E:$E,Costs!$A:$A,A34,Costs!$B:$B,B34)+SUMIFS(Costs!$F:$F,Costs!$A:$A,A34,Costs!$B:$B,B34))/F34)</f>
      </c>
      <c r="I34">
        <f>IF(G34=0,0,C34/G34)</f>
      </c>
      <c r="J34">
        <f>IF(G34=0,0,D34/G34)</f>
      </c>
      <c r="K34">
        <f>D34-E34</f>
      </c>
      <c r="L34">
        <f>IF(J34&lt;=0,0,H34/J34)</f>
      </c>
      <c r="M34">
        <f>IF(INDEX(Assumptions!$C:$E,MATCH("Net platform margin before OPEX",Assumptions!$B:$B,0),MATCH(B34,Assumptions!$C$3:$E$3,0))=0,0,E34/INDEX(Assumptions!$C:$E,MATCH("Net platform margin before OPEX",Assumptions!$B:$B,0),MATCH(B34,Assumptions!$C$3:$E$3,0)))</f>
      </c>
    </row>
    <row r="35">
      <c r="A35">
        <v>34</v>
      </c>
      <c r="B35" t="inlineStr">
        <is>
          <t>Conservative</t>
        </is>
      </c>
      <c r="C35">
        <f>SUMIFS(Revenue!$F:$F,Revenue!$A:$A,A35,Revenue!$B:$B,B35)</f>
      </c>
      <c r="D35">
        <f>SUMIFS(Revenue!$K:$K,Revenue!$A:$A,A35,Revenue!$B:$B,B35)</f>
      </c>
      <c r="E35">
        <f>SUMIFS(Costs!$O:$O,Costs!$A:$A,A35,Costs!$B:$B,B35)</f>
      </c>
      <c r="F35">
        <f>SUMIFS(Costs!$C:$C,Costs!$A:$A,A35,Costs!$B:$B,B35)</f>
      </c>
      <c r="G35">
        <f>SUMIFS(Costs!$D:$D,Costs!$A:$A,A35,Costs!$B:$B,B35)</f>
      </c>
      <c r="H35">
        <f>IF(F35=0,0,(SUMIFS(Costs!$E:$E,Costs!$A:$A,A35,Costs!$B:$B,B35)+SUMIFS(Costs!$F:$F,Costs!$A:$A,A35,Costs!$B:$B,B35))/F35)</f>
      </c>
      <c r="I35">
        <f>IF(G35=0,0,C35/G35)</f>
      </c>
      <c r="J35">
        <f>IF(G35=0,0,D35/G35)</f>
      </c>
      <c r="K35">
        <f>D35-E35</f>
      </c>
      <c r="L35">
        <f>IF(J35&lt;=0,0,H35/J35)</f>
      </c>
      <c r="M35">
        <f>IF(INDEX(Assumptions!$C:$E,MATCH("Net platform margin before OPEX",Assumptions!$B:$B,0),MATCH(B35,Assumptions!$C$3:$E$3,0))=0,0,E35/INDEX(Assumptions!$C:$E,MATCH("Net platform margin before OPEX",Assumptions!$B:$B,0),MATCH(B35,Assumptions!$C$3:$E$3,0)))</f>
      </c>
    </row>
    <row r="36">
      <c r="A36">
        <v>35</v>
      </c>
      <c r="B36" t="inlineStr">
        <is>
          <t>Conservative</t>
        </is>
      </c>
      <c r="C36">
        <f>SUMIFS(Revenue!$F:$F,Revenue!$A:$A,A36,Revenue!$B:$B,B36)</f>
      </c>
      <c r="D36">
        <f>SUMIFS(Revenue!$K:$K,Revenue!$A:$A,A36,Revenue!$B:$B,B36)</f>
      </c>
      <c r="E36">
        <f>SUMIFS(Costs!$O:$O,Costs!$A:$A,A36,Costs!$B:$B,B36)</f>
      </c>
      <c r="F36">
        <f>SUMIFS(Costs!$C:$C,Costs!$A:$A,A36,Costs!$B:$B,B36)</f>
      </c>
      <c r="G36">
        <f>SUMIFS(Costs!$D:$D,Costs!$A:$A,A36,Costs!$B:$B,B36)</f>
      </c>
      <c r="H36">
        <f>IF(F36=0,0,(SUMIFS(Costs!$E:$E,Costs!$A:$A,A36,Costs!$B:$B,B36)+SUMIFS(Costs!$F:$F,Costs!$A:$A,A36,Costs!$B:$B,B36))/F36)</f>
      </c>
      <c r="I36">
        <f>IF(G36=0,0,C36/G36)</f>
      </c>
      <c r="J36">
        <f>IF(G36=0,0,D36/G36)</f>
      </c>
      <c r="K36">
        <f>D36-E36</f>
      </c>
      <c r="L36">
        <f>IF(J36&lt;=0,0,H36/J36)</f>
      </c>
      <c r="M36">
        <f>IF(INDEX(Assumptions!$C:$E,MATCH("Net platform margin before OPEX",Assumptions!$B:$B,0),MATCH(B36,Assumptions!$C$3:$E$3,0))=0,0,E36/INDEX(Assumptions!$C:$E,MATCH("Net platform margin before OPEX",Assumptions!$B:$B,0),MATCH(B36,Assumptions!$C$3:$E$3,0)))</f>
      </c>
    </row>
    <row r="37">
      <c r="A37">
        <v>36</v>
      </c>
      <c r="B37" t="inlineStr">
        <is>
          <t>Conservative</t>
        </is>
      </c>
      <c r="C37">
        <f>SUMIFS(Revenue!$F:$F,Revenue!$A:$A,A37,Revenue!$B:$B,B37)</f>
      </c>
      <c r="D37">
        <f>SUMIFS(Revenue!$K:$K,Revenue!$A:$A,A37,Revenue!$B:$B,B37)</f>
      </c>
      <c r="E37">
        <f>SUMIFS(Costs!$O:$O,Costs!$A:$A,A37,Costs!$B:$B,B37)</f>
      </c>
      <c r="F37">
        <f>SUMIFS(Costs!$C:$C,Costs!$A:$A,A37,Costs!$B:$B,B37)</f>
      </c>
      <c r="G37">
        <f>SUMIFS(Costs!$D:$D,Costs!$A:$A,A37,Costs!$B:$B,B37)</f>
      </c>
      <c r="H37">
        <f>IF(F37=0,0,(SUMIFS(Costs!$E:$E,Costs!$A:$A,A37,Costs!$B:$B,B37)+SUMIFS(Costs!$F:$F,Costs!$A:$A,A37,Costs!$B:$B,B37))/F37)</f>
      </c>
      <c r="I37">
        <f>IF(G37=0,0,C37/G37)</f>
      </c>
      <c r="J37">
        <f>IF(G37=0,0,D37/G37)</f>
      </c>
      <c r="K37">
        <f>D37-E37</f>
      </c>
      <c r="L37">
        <f>IF(J37&lt;=0,0,H37/J37)</f>
      </c>
      <c r="M37">
        <f>IF(INDEX(Assumptions!$C:$E,MATCH("Net platform margin before OPEX",Assumptions!$B:$B,0),MATCH(B37,Assumptions!$C$3:$E$3,0))=0,0,E37/INDEX(Assumptions!$C:$E,MATCH("Net platform margin before OPEX",Assumptions!$B:$B,0),MATCH(B37,Assumptions!$C$3:$E$3,0)))</f>
      </c>
    </row>
    <row r="38">
      <c r="A38">
        <v>1</v>
      </c>
      <c r="B38" t="inlineStr">
        <is>
          <t>Base</t>
        </is>
      </c>
      <c r="C38">
        <f>SUMIFS(Revenue!$F:$F,Revenue!$A:$A,A38,Revenue!$B:$B,B38)</f>
      </c>
      <c r="D38">
        <f>SUMIFS(Revenue!$K:$K,Revenue!$A:$A,A38,Revenue!$B:$B,B38)</f>
      </c>
      <c r="E38">
        <f>SUMIFS(Costs!$O:$O,Costs!$A:$A,A38,Costs!$B:$B,B38)</f>
      </c>
      <c r="F38">
        <f>SUMIFS(Costs!$C:$C,Costs!$A:$A,A38,Costs!$B:$B,B38)</f>
      </c>
      <c r="G38">
        <f>SUMIFS(Costs!$D:$D,Costs!$A:$A,A38,Costs!$B:$B,B38)</f>
      </c>
      <c r="H38">
        <f>IF(F38=0,0,(SUMIFS(Costs!$E:$E,Costs!$A:$A,A38,Costs!$B:$B,B38)+SUMIFS(Costs!$F:$F,Costs!$A:$A,A38,Costs!$B:$B,B38))/F38)</f>
      </c>
      <c r="I38">
        <f>IF(G38=0,0,C38/G38)</f>
      </c>
      <c r="J38">
        <f>IF(G38=0,0,D38/G38)</f>
      </c>
      <c r="K38">
        <f>D38-E38</f>
      </c>
      <c r="L38">
        <f>IF(J38&lt;=0,0,H38/J38)</f>
      </c>
      <c r="M38">
        <f>IF(INDEX(Assumptions!$C:$E,MATCH("Net platform margin before OPEX",Assumptions!$B:$B,0),MATCH(B38,Assumptions!$C$3:$E$3,0))=0,0,E38/INDEX(Assumptions!$C:$E,MATCH("Net platform margin before OPEX",Assumptions!$B:$B,0),MATCH(B38,Assumptions!$C$3:$E$3,0)))</f>
      </c>
    </row>
    <row r="39">
      <c r="A39">
        <v>2</v>
      </c>
      <c r="B39" t="inlineStr">
        <is>
          <t>Base</t>
        </is>
      </c>
      <c r="C39">
        <f>SUMIFS(Revenue!$F:$F,Revenue!$A:$A,A39,Revenue!$B:$B,B39)</f>
      </c>
      <c r="D39">
        <f>SUMIFS(Revenue!$K:$K,Revenue!$A:$A,A39,Revenue!$B:$B,B39)</f>
      </c>
      <c r="E39">
        <f>SUMIFS(Costs!$O:$O,Costs!$A:$A,A39,Costs!$B:$B,B39)</f>
      </c>
      <c r="F39">
        <f>SUMIFS(Costs!$C:$C,Costs!$A:$A,A39,Costs!$B:$B,B39)</f>
      </c>
      <c r="G39">
        <f>SUMIFS(Costs!$D:$D,Costs!$A:$A,A39,Costs!$B:$B,B39)</f>
      </c>
      <c r="H39">
        <f>IF(F39=0,0,(SUMIFS(Costs!$E:$E,Costs!$A:$A,A39,Costs!$B:$B,B39)+SUMIFS(Costs!$F:$F,Costs!$A:$A,A39,Costs!$B:$B,B39))/F39)</f>
      </c>
      <c r="I39">
        <f>IF(G39=0,0,C39/G39)</f>
      </c>
      <c r="J39">
        <f>IF(G39=0,0,D39/G39)</f>
      </c>
      <c r="K39">
        <f>D39-E39</f>
      </c>
      <c r="L39">
        <f>IF(J39&lt;=0,0,H39/J39)</f>
      </c>
      <c r="M39">
        <f>IF(INDEX(Assumptions!$C:$E,MATCH("Net platform margin before OPEX",Assumptions!$B:$B,0),MATCH(B39,Assumptions!$C$3:$E$3,0))=0,0,E39/INDEX(Assumptions!$C:$E,MATCH("Net platform margin before OPEX",Assumptions!$B:$B,0),MATCH(B39,Assumptions!$C$3:$E$3,0)))</f>
      </c>
    </row>
    <row r="40">
      <c r="A40">
        <v>3</v>
      </c>
      <c r="B40" t="inlineStr">
        <is>
          <t>Base</t>
        </is>
      </c>
      <c r="C40">
        <f>SUMIFS(Revenue!$F:$F,Revenue!$A:$A,A40,Revenue!$B:$B,B40)</f>
      </c>
      <c r="D40">
        <f>SUMIFS(Revenue!$K:$K,Revenue!$A:$A,A40,Revenue!$B:$B,B40)</f>
      </c>
      <c r="E40">
        <f>SUMIFS(Costs!$O:$O,Costs!$A:$A,A40,Costs!$B:$B,B40)</f>
      </c>
      <c r="F40">
        <f>SUMIFS(Costs!$C:$C,Costs!$A:$A,A40,Costs!$B:$B,B40)</f>
      </c>
      <c r="G40">
        <f>SUMIFS(Costs!$D:$D,Costs!$A:$A,A40,Costs!$B:$B,B40)</f>
      </c>
      <c r="H40">
        <f>IF(F40=0,0,(SUMIFS(Costs!$E:$E,Costs!$A:$A,A40,Costs!$B:$B,B40)+SUMIFS(Costs!$F:$F,Costs!$A:$A,A40,Costs!$B:$B,B40))/F40)</f>
      </c>
      <c r="I40">
        <f>IF(G40=0,0,C40/G40)</f>
      </c>
      <c r="J40">
        <f>IF(G40=0,0,D40/G40)</f>
      </c>
      <c r="K40">
        <f>D40-E40</f>
      </c>
      <c r="L40">
        <f>IF(J40&lt;=0,0,H40/J40)</f>
      </c>
      <c r="M40">
        <f>IF(INDEX(Assumptions!$C:$E,MATCH("Net platform margin before OPEX",Assumptions!$B:$B,0),MATCH(B40,Assumptions!$C$3:$E$3,0))=0,0,E40/INDEX(Assumptions!$C:$E,MATCH("Net platform margin before OPEX",Assumptions!$B:$B,0),MATCH(B40,Assumptions!$C$3:$E$3,0)))</f>
      </c>
    </row>
    <row r="41">
      <c r="A41">
        <v>4</v>
      </c>
      <c r="B41" t="inlineStr">
        <is>
          <t>Base</t>
        </is>
      </c>
      <c r="C41">
        <f>SUMIFS(Revenue!$F:$F,Revenue!$A:$A,A41,Revenue!$B:$B,B41)</f>
      </c>
      <c r="D41">
        <f>SUMIFS(Revenue!$K:$K,Revenue!$A:$A,A41,Revenue!$B:$B,B41)</f>
      </c>
      <c r="E41">
        <f>SUMIFS(Costs!$O:$O,Costs!$A:$A,A41,Costs!$B:$B,B41)</f>
      </c>
      <c r="F41">
        <f>SUMIFS(Costs!$C:$C,Costs!$A:$A,A41,Costs!$B:$B,B41)</f>
      </c>
      <c r="G41">
        <f>SUMIFS(Costs!$D:$D,Costs!$A:$A,A41,Costs!$B:$B,B41)</f>
      </c>
      <c r="H41">
        <f>IF(F41=0,0,(SUMIFS(Costs!$E:$E,Costs!$A:$A,A41,Costs!$B:$B,B41)+SUMIFS(Costs!$F:$F,Costs!$A:$A,A41,Costs!$B:$B,B41))/F41)</f>
      </c>
      <c r="I41">
        <f>IF(G41=0,0,C41/G41)</f>
      </c>
      <c r="J41">
        <f>IF(G41=0,0,D41/G41)</f>
      </c>
      <c r="K41">
        <f>D41-E41</f>
      </c>
      <c r="L41">
        <f>IF(J41&lt;=0,0,H41/J41)</f>
      </c>
      <c r="M41">
        <f>IF(INDEX(Assumptions!$C:$E,MATCH("Net platform margin before OPEX",Assumptions!$B:$B,0),MATCH(B41,Assumptions!$C$3:$E$3,0))=0,0,E41/INDEX(Assumptions!$C:$E,MATCH("Net platform margin before OPEX",Assumptions!$B:$B,0),MATCH(B41,Assumptions!$C$3:$E$3,0)))</f>
      </c>
    </row>
    <row r="42">
      <c r="A42">
        <v>5</v>
      </c>
      <c r="B42" t="inlineStr">
        <is>
          <t>Base</t>
        </is>
      </c>
      <c r="C42">
        <f>SUMIFS(Revenue!$F:$F,Revenue!$A:$A,A42,Revenue!$B:$B,B42)</f>
      </c>
      <c r="D42">
        <f>SUMIFS(Revenue!$K:$K,Revenue!$A:$A,A42,Revenue!$B:$B,B42)</f>
      </c>
      <c r="E42">
        <f>SUMIFS(Costs!$O:$O,Costs!$A:$A,A42,Costs!$B:$B,B42)</f>
      </c>
      <c r="F42">
        <f>SUMIFS(Costs!$C:$C,Costs!$A:$A,A42,Costs!$B:$B,B42)</f>
      </c>
      <c r="G42">
        <f>SUMIFS(Costs!$D:$D,Costs!$A:$A,A42,Costs!$B:$B,B42)</f>
      </c>
      <c r="H42">
        <f>IF(F42=0,0,(SUMIFS(Costs!$E:$E,Costs!$A:$A,A42,Costs!$B:$B,B42)+SUMIFS(Costs!$F:$F,Costs!$A:$A,A42,Costs!$B:$B,B42))/F42)</f>
      </c>
      <c r="I42">
        <f>IF(G42=0,0,C42/G42)</f>
      </c>
      <c r="J42">
        <f>IF(G42=0,0,D42/G42)</f>
      </c>
      <c r="K42">
        <f>D42-E42</f>
      </c>
      <c r="L42">
        <f>IF(J42&lt;=0,0,H42/J42)</f>
      </c>
      <c r="M42">
        <f>IF(INDEX(Assumptions!$C:$E,MATCH("Net platform margin before OPEX",Assumptions!$B:$B,0),MATCH(B42,Assumptions!$C$3:$E$3,0))=0,0,E42/INDEX(Assumptions!$C:$E,MATCH("Net platform margin before OPEX",Assumptions!$B:$B,0),MATCH(B42,Assumptions!$C$3:$E$3,0)))</f>
      </c>
    </row>
    <row r="43">
      <c r="A43">
        <v>6</v>
      </c>
      <c r="B43" t="inlineStr">
        <is>
          <t>Base</t>
        </is>
      </c>
      <c r="C43">
        <f>SUMIFS(Revenue!$F:$F,Revenue!$A:$A,A43,Revenue!$B:$B,B43)</f>
      </c>
      <c r="D43">
        <f>SUMIFS(Revenue!$K:$K,Revenue!$A:$A,A43,Revenue!$B:$B,B43)</f>
      </c>
      <c r="E43">
        <f>SUMIFS(Costs!$O:$O,Costs!$A:$A,A43,Costs!$B:$B,B43)</f>
      </c>
      <c r="F43">
        <f>SUMIFS(Costs!$C:$C,Costs!$A:$A,A43,Costs!$B:$B,B43)</f>
      </c>
      <c r="G43">
        <f>SUMIFS(Costs!$D:$D,Costs!$A:$A,A43,Costs!$B:$B,B43)</f>
      </c>
      <c r="H43">
        <f>IF(F43=0,0,(SUMIFS(Costs!$E:$E,Costs!$A:$A,A43,Costs!$B:$B,B43)+SUMIFS(Costs!$F:$F,Costs!$A:$A,A43,Costs!$B:$B,B43))/F43)</f>
      </c>
      <c r="I43">
        <f>IF(G43=0,0,C43/G43)</f>
      </c>
      <c r="J43">
        <f>IF(G43=0,0,D43/G43)</f>
      </c>
      <c r="K43">
        <f>D43-E43</f>
      </c>
      <c r="L43">
        <f>IF(J43&lt;=0,0,H43/J43)</f>
      </c>
      <c r="M43">
        <f>IF(INDEX(Assumptions!$C:$E,MATCH("Net platform margin before OPEX",Assumptions!$B:$B,0),MATCH(B43,Assumptions!$C$3:$E$3,0))=0,0,E43/INDEX(Assumptions!$C:$E,MATCH("Net platform margin before OPEX",Assumptions!$B:$B,0),MATCH(B43,Assumptions!$C$3:$E$3,0)))</f>
      </c>
    </row>
    <row r="44">
      <c r="A44">
        <v>7</v>
      </c>
      <c r="B44" t="inlineStr">
        <is>
          <t>Base</t>
        </is>
      </c>
      <c r="C44">
        <f>SUMIFS(Revenue!$F:$F,Revenue!$A:$A,A44,Revenue!$B:$B,B44)</f>
      </c>
      <c r="D44">
        <f>SUMIFS(Revenue!$K:$K,Revenue!$A:$A,A44,Revenue!$B:$B,B44)</f>
      </c>
      <c r="E44">
        <f>SUMIFS(Costs!$O:$O,Costs!$A:$A,A44,Costs!$B:$B,B44)</f>
      </c>
      <c r="F44">
        <f>SUMIFS(Costs!$C:$C,Costs!$A:$A,A44,Costs!$B:$B,B44)</f>
      </c>
      <c r="G44">
        <f>SUMIFS(Costs!$D:$D,Costs!$A:$A,A44,Costs!$B:$B,B44)</f>
      </c>
      <c r="H44">
        <f>IF(F44=0,0,(SUMIFS(Costs!$E:$E,Costs!$A:$A,A44,Costs!$B:$B,B44)+SUMIFS(Costs!$F:$F,Costs!$A:$A,A44,Costs!$B:$B,B44))/F44)</f>
      </c>
      <c r="I44">
        <f>IF(G44=0,0,C44/G44)</f>
      </c>
      <c r="J44">
        <f>IF(G44=0,0,D44/G44)</f>
      </c>
      <c r="K44">
        <f>D44-E44</f>
      </c>
      <c r="L44">
        <f>IF(J44&lt;=0,0,H44/J44)</f>
      </c>
      <c r="M44">
        <f>IF(INDEX(Assumptions!$C:$E,MATCH("Net platform margin before OPEX",Assumptions!$B:$B,0),MATCH(B44,Assumptions!$C$3:$E$3,0))=0,0,E44/INDEX(Assumptions!$C:$E,MATCH("Net platform margin before OPEX",Assumptions!$B:$B,0),MATCH(B44,Assumptions!$C$3:$E$3,0)))</f>
      </c>
    </row>
    <row r="45">
      <c r="A45">
        <v>8</v>
      </c>
      <c r="B45" t="inlineStr">
        <is>
          <t>Base</t>
        </is>
      </c>
      <c r="C45">
        <f>SUMIFS(Revenue!$F:$F,Revenue!$A:$A,A45,Revenue!$B:$B,B45)</f>
      </c>
      <c r="D45">
        <f>SUMIFS(Revenue!$K:$K,Revenue!$A:$A,A45,Revenue!$B:$B,B45)</f>
      </c>
      <c r="E45">
        <f>SUMIFS(Costs!$O:$O,Costs!$A:$A,A45,Costs!$B:$B,B45)</f>
      </c>
      <c r="F45">
        <f>SUMIFS(Costs!$C:$C,Costs!$A:$A,A45,Costs!$B:$B,B45)</f>
      </c>
      <c r="G45">
        <f>SUMIFS(Costs!$D:$D,Costs!$A:$A,A45,Costs!$B:$B,B45)</f>
      </c>
      <c r="H45">
        <f>IF(F45=0,0,(SUMIFS(Costs!$E:$E,Costs!$A:$A,A45,Costs!$B:$B,B45)+SUMIFS(Costs!$F:$F,Costs!$A:$A,A45,Costs!$B:$B,B45))/F45)</f>
      </c>
      <c r="I45">
        <f>IF(G45=0,0,C45/G45)</f>
      </c>
      <c r="J45">
        <f>IF(G45=0,0,D45/G45)</f>
      </c>
      <c r="K45">
        <f>D45-E45</f>
      </c>
      <c r="L45">
        <f>IF(J45&lt;=0,0,H45/J45)</f>
      </c>
      <c r="M45">
        <f>IF(INDEX(Assumptions!$C:$E,MATCH("Net platform margin before OPEX",Assumptions!$B:$B,0),MATCH(B45,Assumptions!$C$3:$E$3,0))=0,0,E45/INDEX(Assumptions!$C:$E,MATCH("Net platform margin before OPEX",Assumptions!$B:$B,0),MATCH(B45,Assumptions!$C$3:$E$3,0)))</f>
      </c>
    </row>
    <row r="46">
      <c r="A46">
        <v>9</v>
      </c>
      <c r="B46" t="inlineStr">
        <is>
          <t>Base</t>
        </is>
      </c>
      <c r="C46">
        <f>SUMIFS(Revenue!$F:$F,Revenue!$A:$A,A46,Revenue!$B:$B,B46)</f>
      </c>
      <c r="D46">
        <f>SUMIFS(Revenue!$K:$K,Revenue!$A:$A,A46,Revenue!$B:$B,B46)</f>
      </c>
      <c r="E46">
        <f>SUMIFS(Costs!$O:$O,Costs!$A:$A,A46,Costs!$B:$B,B46)</f>
      </c>
      <c r="F46">
        <f>SUMIFS(Costs!$C:$C,Costs!$A:$A,A46,Costs!$B:$B,B46)</f>
      </c>
      <c r="G46">
        <f>SUMIFS(Costs!$D:$D,Costs!$A:$A,A46,Costs!$B:$B,B46)</f>
      </c>
      <c r="H46">
        <f>IF(F46=0,0,(SUMIFS(Costs!$E:$E,Costs!$A:$A,A46,Costs!$B:$B,B46)+SUMIFS(Costs!$F:$F,Costs!$A:$A,A46,Costs!$B:$B,B46))/F46)</f>
      </c>
      <c r="I46">
        <f>IF(G46=0,0,C46/G46)</f>
      </c>
      <c r="J46">
        <f>IF(G46=0,0,D46/G46)</f>
      </c>
      <c r="K46">
        <f>D46-E46</f>
      </c>
      <c r="L46">
        <f>IF(J46&lt;=0,0,H46/J46)</f>
      </c>
      <c r="M46">
        <f>IF(INDEX(Assumptions!$C:$E,MATCH("Net platform margin before OPEX",Assumptions!$B:$B,0),MATCH(B46,Assumptions!$C$3:$E$3,0))=0,0,E46/INDEX(Assumptions!$C:$E,MATCH("Net platform margin before OPEX",Assumptions!$B:$B,0),MATCH(B46,Assumptions!$C$3:$E$3,0)))</f>
      </c>
    </row>
    <row r="47">
      <c r="A47">
        <v>10</v>
      </c>
      <c r="B47" t="inlineStr">
        <is>
          <t>Base</t>
        </is>
      </c>
      <c r="C47">
        <f>SUMIFS(Revenue!$F:$F,Revenue!$A:$A,A47,Revenue!$B:$B,B47)</f>
      </c>
      <c r="D47">
        <f>SUMIFS(Revenue!$K:$K,Revenue!$A:$A,A47,Revenue!$B:$B,B47)</f>
      </c>
      <c r="E47">
        <f>SUMIFS(Costs!$O:$O,Costs!$A:$A,A47,Costs!$B:$B,B47)</f>
      </c>
      <c r="F47">
        <f>SUMIFS(Costs!$C:$C,Costs!$A:$A,A47,Costs!$B:$B,B47)</f>
      </c>
      <c r="G47">
        <f>SUMIFS(Costs!$D:$D,Costs!$A:$A,A47,Costs!$B:$B,B47)</f>
      </c>
      <c r="H47">
        <f>IF(F47=0,0,(SUMIFS(Costs!$E:$E,Costs!$A:$A,A47,Costs!$B:$B,B47)+SUMIFS(Costs!$F:$F,Costs!$A:$A,A47,Costs!$B:$B,B47))/F47)</f>
      </c>
      <c r="I47">
        <f>IF(G47=0,0,C47/G47)</f>
      </c>
      <c r="J47">
        <f>IF(G47=0,0,D47/G47)</f>
      </c>
      <c r="K47">
        <f>D47-E47</f>
      </c>
      <c r="L47">
        <f>IF(J47&lt;=0,0,H47/J47)</f>
      </c>
      <c r="M47">
        <f>IF(INDEX(Assumptions!$C:$E,MATCH("Net platform margin before OPEX",Assumptions!$B:$B,0),MATCH(B47,Assumptions!$C$3:$E$3,0))=0,0,E47/INDEX(Assumptions!$C:$E,MATCH("Net platform margin before OPEX",Assumptions!$B:$B,0),MATCH(B47,Assumptions!$C$3:$E$3,0)))</f>
      </c>
    </row>
    <row r="48">
      <c r="A48">
        <v>11</v>
      </c>
      <c r="B48" t="inlineStr">
        <is>
          <t>Base</t>
        </is>
      </c>
      <c r="C48">
        <f>SUMIFS(Revenue!$F:$F,Revenue!$A:$A,A48,Revenue!$B:$B,B48)</f>
      </c>
      <c r="D48">
        <f>SUMIFS(Revenue!$K:$K,Revenue!$A:$A,A48,Revenue!$B:$B,B48)</f>
      </c>
      <c r="E48">
        <f>SUMIFS(Costs!$O:$O,Costs!$A:$A,A48,Costs!$B:$B,B48)</f>
      </c>
      <c r="F48">
        <f>SUMIFS(Costs!$C:$C,Costs!$A:$A,A48,Costs!$B:$B,B48)</f>
      </c>
      <c r="G48">
        <f>SUMIFS(Costs!$D:$D,Costs!$A:$A,A48,Costs!$B:$B,B48)</f>
      </c>
      <c r="H48">
        <f>IF(F48=0,0,(SUMIFS(Costs!$E:$E,Costs!$A:$A,A48,Costs!$B:$B,B48)+SUMIFS(Costs!$F:$F,Costs!$A:$A,A48,Costs!$B:$B,B48))/F48)</f>
      </c>
      <c r="I48">
        <f>IF(G48=0,0,C48/G48)</f>
      </c>
      <c r="J48">
        <f>IF(G48=0,0,D48/G48)</f>
      </c>
      <c r="K48">
        <f>D48-E48</f>
      </c>
      <c r="L48">
        <f>IF(J48&lt;=0,0,H48/J48)</f>
      </c>
      <c r="M48">
        <f>IF(INDEX(Assumptions!$C:$E,MATCH("Net platform margin before OPEX",Assumptions!$B:$B,0),MATCH(B48,Assumptions!$C$3:$E$3,0))=0,0,E48/INDEX(Assumptions!$C:$E,MATCH("Net platform margin before OPEX",Assumptions!$B:$B,0),MATCH(B48,Assumptions!$C$3:$E$3,0)))</f>
      </c>
    </row>
    <row r="49">
      <c r="A49">
        <v>12</v>
      </c>
      <c r="B49" t="inlineStr">
        <is>
          <t>Base</t>
        </is>
      </c>
      <c r="C49">
        <f>SUMIFS(Revenue!$F:$F,Revenue!$A:$A,A49,Revenue!$B:$B,B49)</f>
      </c>
      <c r="D49">
        <f>SUMIFS(Revenue!$K:$K,Revenue!$A:$A,A49,Revenue!$B:$B,B49)</f>
      </c>
      <c r="E49">
        <f>SUMIFS(Costs!$O:$O,Costs!$A:$A,A49,Costs!$B:$B,B49)</f>
      </c>
      <c r="F49">
        <f>SUMIFS(Costs!$C:$C,Costs!$A:$A,A49,Costs!$B:$B,B49)</f>
      </c>
      <c r="G49">
        <f>SUMIFS(Costs!$D:$D,Costs!$A:$A,A49,Costs!$B:$B,B49)</f>
      </c>
      <c r="H49">
        <f>IF(F49=0,0,(SUMIFS(Costs!$E:$E,Costs!$A:$A,A49,Costs!$B:$B,B49)+SUMIFS(Costs!$F:$F,Costs!$A:$A,A49,Costs!$B:$B,B49))/F49)</f>
      </c>
      <c r="I49">
        <f>IF(G49=0,0,C49/G49)</f>
      </c>
      <c r="J49">
        <f>IF(G49=0,0,D49/G49)</f>
      </c>
      <c r="K49">
        <f>D49-E49</f>
      </c>
      <c r="L49">
        <f>IF(J49&lt;=0,0,H49/J49)</f>
      </c>
      <c r="M49">
        <f>IF(INDEX(Assumptions!$C:$E,MATCH("Net platform margin before OPEX",Assumptions!$B:$B,0),MATCH(B49,Assumptions!$C$3:$E$3,0))=0,0,E49/INDEX(Assumptions!$C:$E,MATCH("Net platform margin before OPEX",Assumptions!$B:$B,0),MATCH(B49,Assumptions!$C$3:$E$3,0)))</f>
      </c>
    </row>
    <row r="50">
      <c r="A50">
        <v>13</v>
      </c>
      <c r="B50" t="inlineStr">
        <is>
          <t>Base</t>
        </is>
      </c>
      <c r="C50">
        <f>SUMIFS(Revenue!$F:$F,Revenue!$A:$A,A50,Revenue!$B:$B,B50)</f>
      </c>
      <c r="D50">
        <f>SUMIFS(Revenue!$K:$K,Revenue!$A:$A,A50,Revenue!$B:$B,B50)</f>
      </c>
      <c r="E50">
        <f>SUMIFS(Costs!$O:$O,Costs!$A:$A,A50,Costs!$B:$B,B50)</f>
      </c>
      <c r="F50">
        <f>SUMIFS(Costs!$C:$C,Costs!$A:$A,A50,Costs!$B:$B,B50)</f>
      </c>
      <c r="G50">
        <f>SUMIFS(Costs!$D:$D,Costs!$A:$A,A50,Costs!$B:$B,B50)</f>
      </c>
      <c r="H50">
        <f>IF(F50=0,0,(SUMIFS(Costs!$E:$E,Costs!$A:$A,A50,Costs!$B:$B,B50)+SUMIFS(Costs!$F:$F,Costs!$A:$A,A50,Costs!$B:$B,B50))/F50)</f>
      </c>
      <c r="I50">
        <f>IF(G50=0,0,C50/G50)</f>
      </c>
      <c r="J50">
        <f>IF(G50=0,0,D50/G50)</f>
      </c>
      <c r="K50">
        <f>D50-E50</f>
      </c>
      <c r="L50">
        <f>IF(J50&lt;=0,0,H50/J50)</f>
      </c>
      <c r="M50">
        <f>IF(INDEX(Assumptions!$C:$E,MATCH("Net platform margin before OPEX",Assumptions!$B:$B,0),MATCH(B50,Assumptions!$C$3:$E$3,0))=0,0,E50/INDEX(Assumptions!$C:$E,MATCH("Net platform margin before OPEX",Assumptions!$B:$B,0),MATCH(B50,Assumptions!$C$3:$E$3,0)))</f>
      </c>
    </row>
    <row r="51">
      <c r="A51">
        <v>14</v>
      </c>
      <c r="B51" t="inlineStr">
        <is>
          <t>Base</t>
        </is>
      </c>
      <c r="C51">
        <f>SUMIFS(Revenue!$F:$F,Revenue!$A:$A,A51,Revenue!$B:$B,B51)</f>
      </c>
      <c r="D51">
        <f>SUMIFS(Revenue!$K:$K,Revenue!$A:$A,A51,Revenue!$B:$B,B51)</f>
      </c>
      <c r="E51">
        <f>SUMIFS(Costs!$O:$O,Costs!$A:$A,A51,Costs!$B:$B,B51)</f>
      </c>
      <c r="F51">
        <f>SUMIFS(Costs!$C:$C,Costs!$A:$A,A51,Costs!$B:$B,B51)</f>
      </c>
      <c r="G51">
        <f>SUMIFS(Costs!$D:$D,Costs!$A:$A,A51,Costs!$B:$B,B51)</f>
      </c>
      <c r="H51">
        <f>IF(F51=0,0,(SUMIFS(Costs!$E:$E,Costs!$A:$A,A51,Costs!$B:$B,B51)+SUMIFS(Costs!$F:$F,Costs!$A:$A,A51,Costs!$B:$B,B51))/F51)</f>
      </c>
      <c r="I51">
        <f>IF(G51=0,0,C51/G51)</f>
      </c>
      <c r="J51">
        <f>IF(G51=0,0,D51/G51)</f>
      </c>
      <c r="K51">
        <f>D51-E51</f>
      </c>
      <c r="L51">
        <f>IF(J51&lt;=0,0,H51/J51)</f>
      </c>
      <c r="M51">
        <f>IF(INDEX(Assumptions!$C:$E,MATCH("Net platform margin before OPEX",Assumptions!$B:$B,0),MATCH(B51,Assumptions!$C$3:$E$3,0))=0,0,E51/INDEX(Assumptions!$C:$E,MATCH("Net platform margin before OPEX",Assumptions!$B:$B,0),MATCH(B51,Assumptions!$C$3:$E$3,0)))</f>
      </c>
    </row>
    <row r="52">
      <c r="A52">
        <v>15</v>
      </c>
      <c r="B52" t="inlineStr">
        <is>
          <t>Base</t>
        </is>
      </c>
      <c r="C52">
        <f>SUMIFS(Revenue!$F:$F,Revenue!$A:$A,A52,Revenue!$B:$B,B52)</f>
      </c>
      <c r="D52">
        <f>SUMIFS(Revenue!$K:$K,Revenue!$A:$A,A52,Revenue!$B:$B,B52)</f>
      </c>
      <c r="E52">
        <f>SUMIFS(Costs!$O:$O,Costs!$A:$A,A52,Costs!$B:$B,B52)</f>
      </c>
      <c r="F52">
        <f>SUMIFS(Costs!$C:$C,Costs!$A:$A,A52,Costs!$B:$B,B52)</f>
      </c>
      <c r="G52">
        <f>SUMIFS(Costs!$D:$D,Costs!$A:$A,A52,Costs!$B:$B,B52)</f>
      </c>
      <c r="H52">
        <f>IF(F52=0,0,(SUMIFS(Costs!$E:$E,Costs!$A:$A,A52,Costs!$B:$B,B52)+SUMIFS(Costs!$F:$F,Costs!$A:$A,A52,Costs!$B:$B,B52))/F52)</f>
      </c>
      <c r="I52">
        <f>IF(G52=0,0,C52/G52)</f>
      </c>
      <c r="J52">
        <f>IF(G52=0,0,D52/G52)</f>
      </c>
      <c r="K52">
        <f>D52-E52</f>
      </c>
      <c r="L52">
        <f>IF(J52&lt;=0,0,H52/J52)</f>
      </c>
      <c r="M52">
        <f>IF(INDEX(Assumptions!$C:$E,MATCH("Net platform margin before OPEX",Assumptions!$B:$B,0),MATCH(B52,Assumptions!$C$3:$E$3,0))=0,0,E52/INDEX(Assumptions!$C:$E,MATCH("Net platform margin before OPEX",Assumptions!$B:$B,0),MATCH(B52,Assumptions!$C$3:$E$3,0)))</f>
      </c>
    </row>
    <row r="53">
      <c r="A53">
        <v>16</v>
      </c>
      <c r="B53" t="inlineStr">
        <is>
          <t>Base</t>
        </is>
      </c>
      <c r="C53">
        <f>SUMIFS(Revenue!$F:$F,Revenue!$A:$A,A53,Revenue!$B:$B,B53)</f>
      </c>
      <c r="D53">
        <f>SUMIFS(Revenue!$K:$K,Revenue!$A:$A,A53,Revenue!$B:$B,B53)</f>
      </c>
      <c r="E53">
        <f>SUMIFS(Costs!$O:$O,Costs!$A:$A,A53,Costs!$B:$B,B53)</f>
      </c>
      <c r="F53">
        <f>SUMIFS(Costs!$C:$C,Costs!$A:$A,A53,Costs!$B:$B,B53)</f>
      </c>
      <c r="G53">
        <f>SUMIFS(Costs!$D:$D,Costs!$A:$A,A53,Costs!$B:$B,B53)</f>
      </c>
      <c r="H53">
        <f>IF(F53=0,0,(SUMIFS(Costs!$E:$E,Costs!$A:$A,A53,Costs!$B:$B,B53)+SUMIFS(Costs!$F:$F,Costs!$A:$A,A53,Costs!$B:$B,B53))/F53)</f>
      </c>
      <c r="I53">
        <f>IF(G53=0,0,C53/G53)</f>
      </c>
      <c r="J53">
        <f>IF(G53=0,0,D53/G53)</f>
      </c>
      <c r="K53">
        <f>D53-E53</f>
      </c>
      <c r="L53">
        <f>IF(J53&lt;=0,0,H53/J53)</f>
      </c>
      <c r="M53">
        <f>IF(INDEX(Assumptions!$C:$E,MATCH("Net platform margin before OPEX",Assumptions!$B:$B,0),MATCH(B53,Assumptions!$C$3:$E$3,0))=0,0,E53/INDEX(Assumptions!$C:$E,MATCH("Net platform margin before OPEX",Assumptions!$B:$B,0),MATCH(B53,Assumptions!$C$3:$E$3,0)))</f>
      </c>
    </row>
    <row r="54">
      <c r="A54">
        <v>17</v>
      </c>
      <c r="B54" t="inlineStr">
        <is>
          <t>Base</t>
        </is>
      </c>
      <c r="C54">
        <f>SUMIFS(Revenue!$F:$F,Revenue!$A:$A,A54,Revenue!$B:$B,B54)</f>
      </c>
      <c r="D54">
        <f>SUMIFS(Revenue!$K:$K,Revenue!$A:$A,A54,Revenue!$B:$B,B54)</f>
      </c>
      <c r="E54">
        <f>SUMIFS(Costs!$O:$O,Costs!$A:$A,A54,Costs!$B:$B,B54)</f>
      </c>
      <c r="F54">
        <f>SUMIFS(Costs!$C:$C,Costs!$A:$A,A54,Costs!$B:$B,B54)</f>
      </c>
      <c r="G54">
        <f>SUMIFS(Costs!$D:$D,Costs!$A:$A,A54,Costs!$B:$B,B54)</f>
      </c>
      <c r="H54">
        <f>IF(F54=0,0,(SUMIFS(Costs!$E:$E,Costs!$A:$A,A54,Costs!$B:$B,B54)+SUMIFS(Costs!$F:$F,Costs!$A:$A,A54,Costs!$B:$B,B54))/F54)</f>
      </c>
      <c r="I54">
        <f>IF(G54=0,0,C54/G54)</f>
      </c>
      <c r="J54">
        <f>IF(G54=0,0,D54/G54)</f>
      </c>
      <c r="K54">
        <f>D54-E54</f>
      </c>
      <c r="L54">
        <f>IF(J54&lt;=0,0,H54/J54)</f>
      </c>
      <c r="M54">
        <f>IF(INDEX(Assumptions!$C:$E,MATCH("Net platform margin before OPEX",Assumptions!$B:$B,0),MATCH(B54,Assumptions!$C$3:$E$3,0))=0,0,E54/INDEX(Assumptions!$C:$E,MATCH("Net platform margin before OPEX",Assumptions!$B:$B,0),MATCH(B54,Assumptions!$C$3:$E$3,0)))</f>
      </c>
    </row>
    <row r="55">
      <c r="A55">
        <v>18</v>
      </c>
      <c r="B55" t="inlineStr">
        <is>
          <t>Base</t>
        </is>
      </c>
      <c r="C55">
        <f>SUMIFS(Revenue!$F:$F,Revenue!$A:$A,A55,Revenue!$B:$B,B55)</f>
      </c>
      <c r="D55">
        <f>SUMIFS(Revenue!$K:$K,Revenue!$A:$A,A55,Revenue!$B:$B,B55)</f>
      </c>
      <c r="E55">
        <f>SUMIFS(Costs!$O:$O,Costs!$A:$A,A55,Costs!$B:$B,B55)</f>
      </c>
      <c r="F55">
        <f>SUMIFS(Costs!$C:$C,Costs!$A:$A,A55,Costs!$B:$B,B55)</f>
      </c>
      <c r="G55">
        <f>SUMIFS(Costs!$D:$D,Costs!$A:$A,A55,Costs!$B:$B,B55)</f>
      </c>
      <c r="H55">
        <f>IF(F55=0,0,(SUMIFS(Costs!$E:$E,Costs!$A:$A,A55,Costs!$B:$B,B55)+SUMIFS(Costs!$F:$F,Costs!$A:$A,A55,Costs!$B:$B,B55))/F55)</f>
      </c>
      <c r="I55">
        <f>IF(G55=0,0,C55/G55)</f>
      </c>
      <c r="J55">
        <f>IF(G55=0,0,D55/G55)</f>
      </c>
      <c r="K55">
        <f>D55-E55</f>
      </c>
      <c r="L55">
        <f>IF(J55&lt;=0,0,H55/J55)</f>
      </c>
      <c r="M55">
        <f>IF(INDEX(Assumptions!$C:$E,MATCH("Net platform margin before OPEX",Assumptions!$B:$B,0),MATCH(B55,Assumptions!$C$3:$E$3,0))=0,0,E55/INDEX(Assumptions!$C:$E,MATCH("Net platform margin before OPEX",Assumptions!$B:$B,0),MATCH(B55,Assumptions!$C$3:$E$3,0)))</f>
      </c>
    </row>
    <row r="56">
      <c r="A56">
        <v>19</v>
      </c>
      <c r="B56" t="inlineStr">
        <is>
          <t>Base</t>
        </is>
      </c>
      <c r="C56">
        <f>SUMIFS(Revenue!$F:$F,Revenue!$A:$A,A56,Revenue!$B:$B,B56)</f>
      </c>
      <c r="D56">
        <f>SUMIFS(Revenue!$K:$K,Revenue!$A:$A,A56,Revenue!$B:$B,B56)</f>
      </c>
      <c r="E56">
        <f>SUMIFS(Costs!$O:$O,Costs!$A:$A,A56,Costs!$B:$B,B56)</f>
      </c>
      <c r="F56">
        <f>SUMIFS(Costs!$C:$C,Costs!$A:$A,A56,Costs!$B:$B,B56)</f>
      </c>
      <c r="G56">
        <f>SUMIFS(Costs!$D:$D,Costs!$A:$A,A56,Costs!$B:$B,B56)</f>
      </c>
      <c r="H56">
        <f>IF(F56=0,0,(SUMIFS(Costs!$E:$E,Costs!$A:$A,A56,Costs!$B:$B,B56)+SUMIFS(Costs!$F:$F,Costs!$A:$A,A56,Costs!$B:$B,B56))/F56)</f>
      </c>
      <c r="I56">
        <f>IF(G56=0,0,C56/G56)</f>
      </c>
      <c r="J56">
        <f>IF(G56=0,0,D56/G56)</f>
      </c>
      <c r="K56">
        <f>D56-E56</f>
      </c>
      <c r="L56">
        <f>IF(J56&lt;=0,0,H56/J56)</f>
      </c>
      <c r="M56">
        <f>IF(INDEX(Assumptions!$C:$E,MATCH("Net platform margin before OPEX",Assumptions!$B:$B,0),MATCH(B56,Assumptions!$C$3:$E$3,0))=0,0,E56/INDEX(Assumptions!$C:$E,MATCH("Net platform margin before OPEX",Assumptions!$B:$B,0),MATCH(B56,Assumptions!$C$3:$E$3,0)))</f>
      </c>
    </row>
    <row r="57">
      <c r="A57">
        <v>20</v>
      </c>
      <c r="B57" t="inlineStr">
        <is>
          <t>Base</t>
        </is>
      </c>
      <c r="C57">
        <f>SUMIFS(Revenue!$F:$F,Revenue!$A:$A,A57,Revenue!$B:$B,B57)</f>
      </c>
      <c r="D57">
        <f>SUMIFS(Revenue!$K:$K,Revenue!$A:$A,A57,Revenue!$B:$B,B57)</f>
      </c>
      <c r="E57">
        <f>SUMIFS(Costs!$O:$O,Costs!$A:$A,A57,Costs!$B:$B,B57)</f>
      </c>
      <c r="F57">
        <f>SUMIFS(Costs!$C:$C,Costs!$A:$A,A57,Costs!$B:$B,B57)</f>
      </c>
      <c r="G57">
        <f>SUMIFS(Costs!$D:$D,Costs!$A:$A,A57,Costs!$B:$B,B57)</f>
      </c>
      <c r="H57">
        <f>IF(F57=0,0,(SUMIFS(Costs!$E:$E,Costs!$A:$A,A57,Costs!$B:$B,B57)+SUMIFS(Costs!$F:$F,Costs!$A:$A,A57,Costs!$B:$B,B57))/F57)</f>
      </c>
      <c r="I57">
        <f>IF(G57=0,0,C57/G57)</f>
      </c>
      <c r="J57">
        <f>IF(G57=0,0,D57/G57)</f>
      </c>
      <c r="K57">
        <f>D57-E57</f>
      </c>
      <c r="L57">
        <f>IF(J57&lt;=0,0,H57/J57)</f>
      </c>
      <c r="M57">
        <f>IF(INDEX(Assumptions!$C:$E,MATCH("Net platform margin before OPEX",Assumptions!$B:$B,0),MATCH(B57,Assumptions!$C$3:$E$3,0))=0,0,E57/INDEX(Assumptions!$C:$E,MATCH("Net platform margin before OPEX",Assumptions!$B:$B,0),MATCH(B57,Assumptions!$C$3:$E$3,0)))</f>
      </c>
    </row>
    <row r="58">
      <c r="A58">
        <v>21</v>
      </c>
      <c r="B58" t="inlineStr">
        <is>
          <t>Base</t>
        </is>
      </c>
      <c r="C58">
        <f>SUMIFS(Revenue!$F:$F,Revenue!$A:$A,A58,Revenue!$B:$B,B58)</f>
      </c>
      <c r="D58">
        <f>SUMIFS(Revenue!$K:$K,Revenue!$A:$A,A58,Revenue!$B:$B,B58)</f>
      </c>
      <c r="E58">
        <f>SUMIFS(Costs!$O:$O,Costs!$A:$A,A58,Costs!$B:$B,B58)</f>
      </c>
      <c r="F58">
        <f>SUMIFS(Costs!$C:$C,Costs!$A:$A,A58,Costs!$B:$B,B58)</f>
      </c>
      <c r="G58">
        <f>SUMIFS(Costs!$D:$D,Costs!$A:$A,A58,Costs!$B:$B,B58)</f>
      </c>
      <c r="H58">
        <f>IF(F58=0,0,(SUMIFS(Costs!$E:$E,Costs!$A:$A,A58,Costs!$B:$B,B58)+SUMIFS(Costs!$F:$F,Costs!$A:$A,A58,Costs!$B:$B,B58))/F58)</f>
      </c>
      <c r="I58">
        <f>IF(G58=0,0,C58/G58)</f>
      </c>
      <c r="J58">
        <f>IF(G58=0,0,D58/G58)</f>
      </c>
      <c r="K58">
        <f>D58-E58</f>
      </c>
      <c r="L58">
        <f>IF(J58&lt;=0,0,H58/J58)</f>
      </c>
      <c r="M58">
        <f>IF(INDEX(Assumptions!$C:$E,MATCH("Net platform margin before OPEX",Assumptions!$B:$B,0),MATCH(B58,Assumptions!$C$3:$E$3,0))=0,0,E58/INDEX(Assumptions!$C:$E,MATCH("Net platform margin before OPEX",Assumptions!$B:$B,0),MATCH(B58,Assumptions!$C$3:$E$3,0)))</f>
      </c>
    </row>
    <row r="59">
      <c r="A59">
        <v>22</v>
      </c>
      <c r="B59" t="inlineStr">
        <is>
          <t>Base</t>
        </is>
      </c>
      <c r="C59">
        <f>SUMIFS(Revenue!$F:$F,Revenue!$A:$A,A59,Revenue!$B:$B,B59)</f>
      </c>
      <c r="D59">
        <f>SUMIFS(Revenue!$K:$K,Revenue!$A:$A,A59,Revenue!$B:$B,B59)</f>
      </c>
      <c r="E59">
        <f>SUMIFS(Costs!$O:$O,Costs!$A:$A,A59,Costs!$B:$B,B59)</f>
      </c>
      <c r="F59">
        <f>SUMIFS(Costs!$C:$C,Costs!$A:$A,A59,Costs!$B:$B,B59)</f>
      </c>
      <c r="G59">
        <f>SUMIFS(Costs!$D:$D,Costs!$A:$A,A59,Costs!$B:$B,B59)</f>
      </c>
      <c r="H59">
        <f>IF(F59=0,0,(SUMIFS(Costs!$E:$E,Costs!$A:$A,A59,Costs!$B:$B,B59)+SUMIFS(Costs!$F:$F,Costs!$A:$A,A59,Costs!$B:$B,B59))/F59)</f>
      </c>
      <c r="I59">
        <f>IF(G59=0,0,C59/G59)</f>
      </c>
      <c r="J59">
        <f>IF(G59=0,0,D59/G59)</f>
      </c>
      <c r="K59">
        <f>D59-E59</f>
      </c>
      <c r="L59">
        <f>IF(J59&lt;=0,0,H59/J59)</f>
      </c>
      <c r="M59">
        <f>IF(INDEX(Assumptions!$C:$E,MATCH("Net platform margin before OPEX",Assumptions!$B:$B,0),MATCH(B59,Assumptions!$C$3:$E$3,0))=0,0,E59/INDEX(Assumptions!$C:$E,MATCH("Net platform margin before OPEX",Assumptions!$B:$B,0),MATCH(B59,Assumptions!$C$3:$E$3,0)))</f>
      </c>
    </row>
    <row r="60">
      <c r="A60">
        <v>23</v>
      </c>
      <c r="B60" t="inlineStr">
        <is>
          <t>Base</t>
        </is>
      </c>
      <c r="C60">
        <f>SUMIFS(Revenue!$F:$F,Revenue!$A:$A,A60,Revenue!$B:$B,B60)</f>
      </c>
      <c r="D60">
        <f>SUMIFS(Revenue!$K:$K,Revenue!$A:$A,A60,Revenue!$B:$B,B60)</f>
      </c>
      <c r="E60">
        <f>SUMIFS(Costs!$O:$O,Costs!$A:$A,A60,Costs!$B:$B,B60)</f>
      </c>
      <c r="F60">
        <f>SUMIFS(Costs!$C:$C,Costs!$A:$A,A60,Costs!$B:$B,B60)</f>
      </c>
      <c r="G60">
        <f>SUMIFS(Costs!$D:$D,Costs!$A:$A,A60,Costs!$B:$B,B60)</f>
      </c>
      <c r="H60">
        <f>IF(F60=0,0,(SUMIFS(Costs!$E:$E,Costs!$A:$A,A60,Costs!$B:$B,B60)+SUMIFS(Costs!$F:$F,Costs!$A:$A,A60,Costs!$B:$B,B60))/F60)</f>
      </c>
      <c r="I60">
        <f>IF(G60=0,0,C60/G60)</f>
      </c>
      <c r="J60">
        <f>IF(G60=0,0,D60/G60)</f>
      </c>
      <c r="K60">
        <f>D60-E60</f>
      </c>
      <c r="L60">
        <f>IF(J60&lt;=0,0,H60/J60)</f>
      </c>
      <c r="M60">
        <f>IF(INDEX(Assumptions!$C:$E,MATCH("Net platform margin before OPEX",Assumptions!$B:$B,0),MATCH(B60,Assumptions!$C$3:$E$3,0))=0,0,E60/INDEX(Assumptions!$C:$E,MATCH("Net platform margin before OPEX",Assumptions!$B:$B,0),MATCH(B60,Assumptions!$C$3:$E$3,0)))</f>
      </c>
    </row>
    <row r="61">
      <c r="A61">
        <v>24</v>
      </c>
      <c r="B61" t="inlineStr">
        <is>
          <t>Base</t>
        </is>
      </c>
      <c r="C61">
        <f>SUMIFS(Revenue!$F:$F,Revenue!$A:$A,A61,Revenue!$B:$B,B61)</f>
      </c>
      <c r="D61">
        <f>SUMIFS(Revenue!$K:$K,Revenue!$A:$A,A61,Revenue!$B:$B,B61)</f>
      </c>
      <c r="E61">
        <f>SUMIFS(Costs!$O:$O,Costs!$A:$A,A61,Costs!$B:$B,B61)</f>
      </c>
      <c r="F61">
        <f>SUMIFS(Costs!$C:$C,Costs!$A:$A,A61,Costs!$B:$B,B61)</f>
      </c>
      <c r="G61">
        <f>SUMIFS(Costs!$D:$D,Costs!$A:$A,A61,Costs!$B:$B,B61)</f>
      </c>
      <c r="H61">
        <f>IF(F61=0,0,(SUMIFS(Costs!$E:$E,Costs!$A:$A,A61,Costs!$B:$B,B61)+SUMIFS(Costs!$F:$F,Costs!$A:$A,A61,Costs!$B:$B,B61))/F61)</f>
      </c>
      <c r="I61">
        <f>IF(G61=0,0,C61/G61)</f>
      </c>
      <c r="J61">
        <f>IF(G61=0,0,D61/G61)</f>
      </c>
      <c r="K61">
        <f>D61-E61</f>
      </c>
      <c r="L61">
        <f>IF(J61&lt;=0,0,H61/J61)</f>
      </c>
      <c r="M61">
        <f>IF(INDEX(Assumptions!$C:$E,MATCH("Net platform margin before OPEX",Assumptions!$B:$B,0),MATCH(B61,Assumptions!$C$3:$E$3,0))=0,0,E61/INDEX(Assumptions!$C:$E,MATCH("Net platform margin before OPEX",Assumptions!$B:$B,0),MATCH(B61,Assumptions!$C$3:$E$3,0)))</f>
      </c>
    </row>
    <row r="62">
      <c r="A62">
        <v>25</v>
      </c>
      <c r="B62" t="inlineStr">
        <is>
          <t>Base</t>
        </is>
      </c>
      <c r="C62">
        <f>SUMIFS(Revenue!$F:$F,Revenue!$A:$A,A62,Revenue!$B:$B,B62)</f>
      </c>
      <c r="D62">
        <f>SUMIFS(Revenue!$K:$K,Revenue!$A:$A,A62,Revenue!$B:$B,B62)</f>
      </c>
      <c r="E62">
        <f>SUMIFS(Costs!$O:$O,Costs!$A:$A,A62,Costs!$B:$B,B62)</f>
      </c>
      <c r="F62">
        <f>SUMIFS(Costs!$C:$C,Costs!$A:$A,A62,Costs!$B:$B,B62)</f>
      </c>
      <c r="G62">
        <f>SUMIFS(Costs!$D:$D,Costs!$A:$A,A62,Costs!$B:$B,B62)</f>
      </c>
      <c r="H62">
        <f>IF(F62=0,0,(SUMIFS(Costs!$E:$E,Costs!$A:$A,A62,Costs!$B:$B,B62)+SUMIFS(Costs!$F:$F,Costs!$A:$A,A62,Costs!$B:$B,B62))/F62)</f>
      </c>
      <c r="I62">
        <f>IF(G62=0,0,C62/G62)</f>
      </c>
      <c r="J62">
        <f>IF(G62=0,0,D62/G62)</f>
      </c>
      <c r="K62">
        <f>D62-E62</f>
      </c>
      <c r="L62">
        <f>IF(J62&lt;=0,0,H62/J62)</f>
      </c>
      <c r="M62">
        <f>IF(INDEX(Assumptions!$C:$E,MATCH("Net platform margin before OPEX",Assumptions!$B:$B,0),MATCH(B62,Assumptions!$C$3:$E$3,0))=0,0,E62/INDEX(Assumptions!$C:$E,MATCH("Net platform margin before OPEX",Assumptions!$B:$B,0),MATCH(B62,Assumptions!$C$3:$E$3,0)))</f>
      </c>
    </row>
    <row r="63">
      <c r="A63">
        <v>26</v>
      </c>
      <c r="B63" t="inlineStr">
        <is>
          <t>Base</t>
        </is>
      </c>
      <c r="C63">
        <f>SUMIFS(Revenue!$F:$F,Revenue!$A:$A,A63,Revenue!$B:$B,B63)</f>
      </c>
      <c r="D63">
        <f>SUMIFS(Revenue!$K:$K,Revenue!$A:$A,A63,Revenue!$B:$B,B63)</f>
      </c>
      <c r="E63">
        <f>SUMIFS(Costs!$O:$O,Costs!$A:$A,A63,Costs!$B:$B,B63)</f>
      </c>
      <c r="F63">
        <f>SUMIFS(Costs!$C:$C,Costs!$A:$A,A63,Costs!$B:$B,B63)</f>
      </c>
      <c r="G63">
        <f>SUMIFS(Costs!$D:$D,Costs!$A:$A,A63,Costs!$B:$B,B63)</f>
      </c>
      <c r="H63">
        <f>IF(F63=0,0,(SUMIFS(Costs!$E:$E,Costs!$A:$A,A63,Costs!$B:$B,B63)+SUMIFS(Costs!$F:$F,Costs!$A:$A,A63,Costs!$B:$B,B63))/F63)</f>
      </c>
      <c r="I63">
        <f>IF(G63=0,0,C63/G63)</f>
      </c>
      <c r="J63">
        <f>IF(G63=0,0,D63/G63)</f>
      </c>
      <c r="K63">
        <f>D63-E63</f>
      </c>
      <c r="L63">
        <f>IF(J63&lt;=0,0,H63/J63)</f>
      </c>
      <c r="M63">
        <f>IF(INDEX(Assumptions!$C:$E,MATCH("Net platform margin before OPEX",Assumptions!$B:$B,0),MATCH(B63,Assumptions!$C$3:$E$3,0))=0,0,E63/INDEX(Assumptions!$C:$E,MATCH("Net platform margin before OPEX",Assumptions!$B:$B,0),MATCH(B63,Assumptions!$C$3:$E$3,0)))</f>
      </c>
    </row>
    <row r="64">
      <c r="A64">
        <v>27</v>
      </c>
      <c r="B64" t="inlineStr">
        <is>
          <t>Base</t>
        </is>
      </c>
      <c r="C64">
        <f>SUMIFS(Revenue!$F:$F,Revenue!$A:$A,A64,Revenue!$B:$B,B64)</f>
      </c>
      <c r="D64">
        <f>SUMIFS(Revenue!$K:$K,Revenue!$A:$A,A64,Revenue!$B:$B,B64)</f>
      </c>
      <c r="E64">
        <f>SUMIFS(Costs!$O:$O,Costs!$A:$A,A64,Costs!$B:$B,B64)</f>
      </c>
      <c r="F64">
        <f>SUMIFS(Costs!$C:$C,Costs!$A:$A,A64,Costs!$B:$B,B64)</f>
      </c>
      <c r="G64">
        <f>SUMIFS(Costs!$D:$D,Costs!$A:$A,A64,Costs!$B:$B,B64)</f>
      </c>
      <c r="H64">
        <f>IF(F64=0,0,(SUMIFS(Costs!$E:$E,Costs!$A:$A,A64,Costs!$B:$B,B64)+SUMIFS(Costs!$F:$F,Costs!$A:$A,A64,Costs!$B:$B,B64))/F64)</f>
      </c>
      <c r="I64">
        <f>IF(G64=0,0,C64/G64)</f>
      </c>
      <c r="J64">
        <f>IF(G64=0,0,D64/G64)</f>
      </c>
      <c r="K64">
        <f>D64-E64</f>
      </c>
      <c r="L64">
        <f>IF(J64&lt;=0,0,H64/J64)</f>
      </c>
      <c r="M64">
        <f>IF(INDEX(Assumptions!$C:$E,MATCH("Net platform margin before OPEX",Assumptions!$B:$B,0),MATCH(B64,Assumptions!$C$3:$E$3,0))=0,0,E64/INDEX(Assumptions!$C:$E,MATCH("Net platform margin before OPEX",Assumptions!$B:$B,0),MATCH(B64,Assumptions!$C$3:$E$3,0)))</f>
      </c>
    </row>
    <row r="65">
      <c r="A65">
        <v>28</v>
      </c>
      <c r="B65" t="inlineStr">
        <is>
          <t>Base</t>
        </is>
      </c>
      <c r="C65">
        <f>SUMIFS(Revenue!$F:$F,Revenue!$A:$A,A65,Revenue!$B:$B,B65)</f>
      </c>
      <c r="D65">
        <f>SUMIFS(Revenue!$K:$K,Revenue!$A:$A,A65,Revenue!$B:$B,B65)</f>
      </c>
      <c r="E65">
        <f>SUMIFS(Costs!$O:$O,Costs!$A:$A,A65,Costs!$B:$B,B65)</f>
      </c>
      <c r="F65">
        <f>SUMIFS(Costs!$C:$C,Costs!$A:$A,A65,Costs!$B:$B,B65)</f>
      </c>
      <c r="G65">
        <f>SUMIFS(Costs!$D:$D,Costs!$A:$A,A65,Costs!$B:$B,B65)</f>
      </c>
      <c r="H65">
        <f>IF(F65=0,0,(SUMIFS(Costs!$E:$E,Costs!$A:$A,A65,Costs!$B:$B,B65)+SUMIFS(Costs!$F:$F,Costs!$A:$A,A65,Costs!$B:$B,B65))/F65)</f>
      </c>
      <c r="I65">
        <f>IF(G65=0,0,C65/G65)</f>
      </c>
      <c r="J65">
        <f>IF(G65=0,0,D65/G65)</f>
      </c>
      <c r="K65">
        <f>D65-E65</f>
      </c>
      <c r="L65">
        <f>IF(J65&lt;=0,0,H65/J65)</f>
      </c>
      <c r="M65">
        <f>IF(INDEX(Assumptions!$C:$E,MATCH("Net platform margin before OPEX",Assumptions!$B:$B,0),MATCH(B65,Assumptions!$C$3:$E$3,0))=0,0,E65/INDEX(Assumptions!$C:$E,MATCH("Net platform margin before OPEX",Assumptions!$B:$B,0),MATCH(B65,Assumptions!$C$3:$E$3,0)))</f>
      </c>
    </row>
    <row r="66">
      <c r="A66">
        <v>29</v>
      </c>
      <c r="B66" t="inlineStr">
        <is>
          <t>Base</t>
        </is>
      </c>
      <c r="C66">
        <f>SUMIFS(Revenue!$F:$F,Revenue!$A:$A,A66,Revenue!$B:$B,B66)</f>
      </c>
      <c r="D66">
        <f>SUMIFS(Revenue!$K:$K,Revenue!$A:$A,A66,Revenue!$B:$B,B66)</f>
      </c>
      <c r="E66">
        <f>SUMIFS(Costs!$O:$O,Costs!$A:$A,A66,Costs!$B:$B,B66)</f>
      </c>
      <c r="F66">
        <f>SUMIFS(Costs!$C:$C,Costs!$A:$A,A66,Costs!$B:$B,B66)</f>
      </c>
      <c r="G66">
        <f>SUMIFS(Costs!$D:$D,Costs!$A:$A,A66,Costs!$B:$B,B66)</f>
      </c>
      <c r="H66">
        <f>IF(F66=0,0,(SUMIFS(Costs!$E:$E,Costs!$A:$A,A66,Costs!$B:$B,B66)+SUMIFS(Costs!$F:$F,Costs!$A:$A,A66,Costs!$B:$B,B66))/F66)</f>
      </c>
      <c r="I66">
        <f>IF(G66=0,0,C66/G66)</f>
      </c>
      <c r="J66">
        <f>IF(G66=0,0,D66/G66)</f>
      </c>
      <c r="K66">
        <f>D66-E66</f>
      </c>
      <c r="L66">
        <f>IF(J66&lt;=0,0,H66/J66)</f>
      </c>
      <c r="M66">
        <f>IF(INDEX(Assumptions!$C:$E,MATCH("Net platform margin before OPEX",Assumptions!$B:$B,0),MATCH(B66,Assumptions!$C$3:$E$3,0))=0,0,E66/INDEX(Assumptions!$C:$E,MATCH("Net platform margin before OPEX",Assumptions!$B:$B,0),MATCH(B66,Assumptions!$C$3:$E$3,0)))</f>
      </c>
    </row>
    <row r="67">
      <c r="A67">
        <v>30</v>
      </c>
      <c r="B67" t="inlineStr">
        <is>
          <t>Base</t>
        </is>
      </c>
      <c r="C67">
        <f>SUMIFS(Revenue!$F:$F,Revenue!$A:$A,A67,Revenue!$B:$B,B67)</f>
      </c>
      <c r="D67">
        <f>SUMIFS(Revenue!$K:$K,Revenue!$A:$A,A67,Revenue!$B:$B,B67)</f>
      </c>
      <c r="E67">
        <f>SUMIFS(Costs!$O:$O,Costs!$A:$A,A67,Costs!$B:$B,B67)</f>
      </c>
      <c r="F67">
        <f>SUMIFS(Costs!$C:$C,Costs!$A:$A,A67,Costs!$B:$B,B67)</f>
      </c>
      <c r="G67">
        <f>SUMIFS(Costs!$D:$D,Costs!$A:$A,A67,Costs!$B:$B,B67)</f>
      </c>
      <c r="H67">
        <f>IF(F67=0,0,(SUMIFS(Costs!$E:$E,Costs!$A:$A,A67,Costs!$B:$B,B67)+SUMIFS(Costs!$F:$F,Costs!$A:$A,A67,Costs!$B:$B,B67))/F67)</f>
      </c>
      <c r="I67">
        <f>IF(G67=0,0,C67/G67)</f>
      </c>
      <c r="J67">
        <f>IF(G67=0,0,D67/G67)</f>
      </c>
      <c r="K67">
        <f>D67-E67</f>
      </c>
      <c r="L67">
        <f>IF(J67&lt;=0,0,H67/J67)</f>
      </c>
      <c r="M67">
        <f>IF(INDEX(Assumptions!$C:$E,MATCH("Net platform margin before OPEX",Assumptions!$B:$B,0),MATCH(B67,Assumptions!$C$3:$E$3,0))=0,0,E67/INDEX(Assumptions!$C:$E,MATCH("Net platform margin before OPEX",Assumptions!$B:$B,0),MATCH(B67,Assumptions!$C$3:$E$3,0)))</f>
      </c>
    </row>
    <row r="68">
      <c r="A68">
        <v>31</v>
      </c>
      <c r="B68" t="inlineStr">
        <is>
          <t>Base</t>
        </is>
      </c>
      <c r="C68">
        <f>SUMIFS(Revenue!$F:$F,Revenue!$A:$A,A68,Revenue!$B:$B,B68)</f>
      </c>
      <c r="D68">
        <f>SUMIFS(Revenue!$K:$K,Revenue!$A:$A,A68,Revenue!$B:$B,B68)</f>
      </c>
      <c r="E68">
        <f>SUMIFS(Costs!$O:$O,Costs!$A:$A,A68,Costs!$B:$B,B68)</f>
      </c>
      <c r="F68">
        <f>SUMIFS(Costs!$C:$C,Costs!$A:$A,A68,Costs!$B:$B,B68)</f>
      </c>
      <c r="G68">
        <f>SUMIFS(Costs!$D:$D,Costs!$A:$A,A68,Costs!$B:$B,B68)</f>
      </c>
      <c r="H68">
        <f>IF(F68=0,0,(SUMIFS(Costs!$E:$E,Costs!$A:$A,A68,Costs!$B:$B,B68)+SUMIFS(Costs!$F:$F,Costs!$A:$A,A68,Costs!$B:$B,B68))/F68)</f>
      </c>
      <c r="I68">
        <f>IF(G68=0,0,C68/G68)</f>
      </c>
      <c r="J68">
        <f>IF(G68=0,0,D68/G68)</f>
      </c>
      <c r="K68">
        <f>D68-E68</f>
      </c>
      <c r="L68">
        <f>IF(J68&lt;=0,0,H68/J68)</f>
      </c>
      <c r="M68">
        <f>IF(INDEX(Assumptions!$C:$E,MATCH("Net platform margin before OPEX",Assumptions!$B:$B,0),MATCH(B68,Assumptions!$C$3:$E$3,0))=0,0,E68/INDEX(Assumptions!$C:$E,MATCH("Net platform margin before OPEX",Assumptions!$B:$B,0),MATCH(B68,Assumptions!$C$3:$E$3,0)))</f>
      </c>
    </row>
    <row r="69">
      <c r="A69">
        <v>32</v>
      </c>
      <c r="B69" t="inlineStr">
        <is>
          <t>Base</t>
        </is>
      </c>
      <c r="C69">
        <f>SUMIFS(Revenue!$F:$F,Revenue!$A:$A,A69,Revenue!$B:$B,B69)</f>
      </c>
      <c r="D69">
        <f>SUMIFS(Revenue!$K:$K,Revenue!$A:$A,A69,Revenue!$B:$B,B69)</f>
      </c>
      <c r="E69">
        <f>SUMIFS(Costs!$O:$O,Costs!$A:$A,A69,Costs!$B:$B,B69)</f>
      </c>
      <c r="F69">
        <f>SUMIFS(Costs!$C:$C,Costs!$A:$A,A69,Costs!$B:$B,B69)</f>
      </c>
      <c r="G69">
        <f>SUMIFS(Costs!$D:$D,Costs!$A:$A,A69,Costs!$B:$B,B69)</f>
      </c>
      <c r="H69">
        <f>IF(F69=0,0,(SUMIFS(Costs!$E:$E,Costs!$A:$A,A69,Costs!$B:$B,B69)+SUMIFS(Costs!$F:$F,Costs!$A:$A,A69,Costs!$B:$B,B69))/F69)</f>
      </c>
      <c r="I69">
        <f>IF(G69=0,0,C69/G69)</f>
      </c>
      <c r="J69">
        <f>IF(G69=0,0,D69/G69)</f>
      </c>
      <c r="K69">
        <f>D69-E69</f>
      </c>
      <c r="L69">
        <f>IF(J69&lt;=0,0,H69/J69)</f>
      </c>
      <c r="M69">
        <f>IF(INDEX(Assumptions!$C:$E,MATCH("Net platform margin before OPEX",Assumptions!$B:$B,0),MATCH(B69,Assumptions!$C$3:$E$3,0))=0,0,E69/INDEX(Assumptions!$C:$E,MATCH("Net platform margin before OPEX",Assumptions!$B:$B,0),MATCH(B69,Assumptions!$C$3:$E$3,0)))</f>
      </c>
    </row>
    <row r="70">
      <c r="A70">
        <v>33</v>
      </c>
      <c r="B70" t="inlineStr">
        <is>
          <t>Base</t>
        </is>
      </c>
      <c r="C70">
        <f>SUMIFS(Revenue!$F:$F,Revenue!$A:$A,A70,Revenue!$B:$B,B70)</f>
      </c>
      <c r="D70">
        <f>SUMIFS(Revenue!$K:$K,Revenue!$A:$A,A70,Revenue!$B:$B,B70)</f>
      </c>
      <c r="E70">
        <f>SUMIFS(Costs!$O:$O,Costs!$A:$A,A70,Costs!$B:$B,B70)</f>
      </c>
      <c r="F70">
        <f>SUMIFS(Costs!$C:$C,Costs!$A:$A,A70,Costs!$B:$B,B70)</f>
      </c>
      <c r="G70">
        <f>SUMIFS(Costs!$D:$D,Costs!$A:$A,A70,Costs!$B:$B,B70)</f>
      </c>
      <c r="H70">
        <f>IF(F70=0,0,(SUMIFS(Costs!$E:$E,Costs!$A:$A,A70,Costs!$B:$B,B70)+SUMIFS(Costs!$F:$F,Costs!$A:$A,A70,Costs!$B:$B,B70))/F70)</f>
      </c>
      <c r="I70">
        <f>IF(G70=0,0,C70/G70)</f>
      </c>
      <c r="J70">
        <f>IF(G70=0,0,D70/G70)</f>
      </c>
      <c r="K70">
        <f>D70-E70</f>
      </c>
      <c r="L70">
        <f>IF(J70&lt;=0,0,H70/J70)</f>
      </c>
      <c r="M70">
        <f>IF(INDEX(Assumptions!$C:$E,MATCH("Net platform margin before OPEX",Assumptions!$B:$B,0),MATCH(B70,Assumptions!$C$3:$E$3,0))=0,0,E70/INDEX(Assumptions!$C:$E,MATCH("Net platform margin before OPEX",Assumptions!$B:$B,0),MATCH(B70,Assumptions!$C$3:$E$3,0)))</f>
      </c>
    </row>
    <row r="71">
      <c r="A71">
        <v>34</v>
      </c>
      <c r="B71" t="inlineStr">
        <is>
          <t>Base</t>
        </is>
      </c>
      <c r="C71">
        <f>SUMIFS(Revenue!$F:$F,Revenue!$A:$A,A71,Revenue!$B:$B,B71)</f>
      </c>
      <c r="D71">
        <f>SUMIFS(Revenue!$K:$K,Revenue!$A:$A,A71,Revenue!$B:$B,B71)</f>
      </c>
      <c r="E71">
        <f>SUMIFS(Costs!$O:$O,Costs!$A:$A,A71,Costs!$B:$B,B71)</f>
      </c>
      <c r="F71">
        <f>SUMIFS(Costs!$C:$C,Costs!$A:$A,A71,Costs!$B:$B,B71)</f>
      </c>
      <c r="G71">
        <f>SUMIFS(Costs!$D:$D,Costs!$A:$A,A71,Costs!$B:$B,B71)</f>
      </c>
      <c r="H71">
        <f>IF(F71=0,0,(SUMIFS(Costs!$E:$E,Costs!$A:$A,A71,Costs!$B:$B,B71)+SUMIFS(Costs!$F:$F,Costs!$A:$A,A71,Costs!$B:$B,B71))/F71)</f>
      </c>
      <c r="I71">
        <f>IF(G71=0,0,C71/G71)</f>
      </c>
      <c r="J71">
        <f>IF(G71=0,0,D71/G71)</f>
      </c>
      <c r="K71">
        <f>D71-E71</f>
      </c>
      <c r="L71">
        <f>IF(J71&lt;=0,0,H71/J71)</f>
      </c>
      <c r="M71">
        <f>IF(INDEX(Assumptions!$C:$E,MATCH("Net platform margin before OPEX",Assumptions!$B:$B,0),MATCH(B71,Assumptions!$C$3:$E$3,0))=0,0,E71/INDEX(Assumptions!$C:$E,MATCH("Net platform margin before OPEX",Assumptions!$B:$B,0),MATCH(B71,Assumptions!$C$3:$E$3,0)))</f>
      </c>
    </row>
    <row r="72">
      <c r="A72">
        <v>35</v>
      </c>
      <c r="B72" t="inlineStr">
        <is>
          <t>Base</t>
        </is>
      </c>
      <c r="C72">
        <f>SUMIFS(Revenue!$F:$F,Revenue!$A:$A,A72,Revenue!$B:$B,B72)</f>
      </c>
      <c r="D72">
        <f>SUMIFS(Revenue!$K:$K,Revenue!$A:$A,A72,Revenue!$B:$B,B72)</f>
      </c>
      <c r="E72">
        <f>SUMIFS(Costs!$O:$O,Costs!$A:$A,A72,Costs!$B:$B,B72)</f>
      </c>
      <c r="F72">
        <f>SUMIFS(Costs!$C:$C,Costs!$A:$A,A72,Costs!$B:$B,B72)</f>
      </c>
      <c r="G72">
        <f>SUMIFS(Costs!$D:$D,Costs!$A:$A,A72,Costs!$B:$B,B72)</f>
      </c>
      <c r="H72">
        <f>IF(F72=0,0,(SUMIFS(Costs!$E:$E,Costs!$A:$A,A72,Costs!$B:$B,B72)+SUMIFS(Costs!$F:$F,Costs!$A:$A,A72,Costs!$B:$B,B72))/F72)</f>
      </c>
      <c r="I72">
        <f>IF(G72=0,0,C72/G72)</f>
      </c>
      <c r="J72">
        <f>IF(G72=0,0,D72/G72)</f>
      </c>
      <c r="K72">
        <f>D72-E72</f>
      </c>
      <c r="L72">
        <f>IF(J72&lt;=0,0,H72/J72)</f>
      </c>
      <c r="M72">
        <f>IF(INDEX(Assumptions!$C:$E,MATCH("Net platform margin before OPEX",Assumptions!$B:$B,0),MATCH(B72,Assumptions!$C$3:$E$3,0))=0,0,E72/INDEX(Assumptions!$C:$E,MATCH("Net platform margin before OPEX",Assumptions!$B:$B,0),MATCH(B72,Assumptions!$C$3:$E$3,0)))</f>
      </c>
    </row>
    <row r="73">
      <c r="A73">
        <v>36</v>
      </c>
      <c r="B73" t="inlineStr">
        <is>
          <t>Base</t>
        </is>
      </c>
      <c r="C73">
        <f>SUMIFS(Revenue!$F:$F,Revenue!$A:$A,A73,Revenue!$B:$B,B73)</f>
      </c>
      <c r="D73">
        <f>SUMIFS(Revenue!$K:$K,Revenue!$A:$A,A73,Revenue!$B:$B,B73)</f>
      </c>
      <c r="E73">
        <f>SUMIFS(Costs!$O:$O,Costs!$A:$A,A73,Costs!$B:$B,B73)</f>
      </c>
      <c r="F73">
        <f>SUMIFS(Costs!$C:$C,Costs!$A:$A,A73,Costs!$B:$B,B73)</f>
      </c>
      <c r="G73">
        <f>SUMIFS(Costs!$D:$D,Costs!$A:$A,A73,Costs!$B:$B,B73)</f>
      </c>
      <c r="H73">
        <f>IF(F73=0,0,(SUMIFS(Costs!$E:$E,Costs!$A:$A,A73,Costs!$B:$B,B73)+SUMIFS(Costs!$F:$F,Costs!$A:$A,A73,Costs!$B:$B,B73))/F73)</f>
      </c>
      <c r="I73">
        <f>IF(G73=0,0,C73/G73)</f>
      </c>
      <c r="J73">
        <f>IF(G73=0,0,D73/G73)</f>
      </c>
      <c r="K73">
        <f>D73-E73</f>
      </c>
      <c r="L73">
        <f>IF(J73&lt;=0,0,H73/J73)</f>
      </c>
      <c r="M73">
        <f>IF(INDEX(Assumptions!$C:$E,MATCH("Net platform margin before OPEX",Assumptions!$B:$B,0),MATCH(B73,Assumptions!$C$3:$E$3,0))=0,0,E73/INDEX(Assumptions!$C:$E,MATCH("Net platform margin before OPEX",Assumptions!$B:$B,0),MATCH(B73,Assumptions!$C$3:$E$3,0)))</f>
      </c>
    </row>
    <row r="74">
      <c r="A74">
        <v>1</v>
      </c>
      <c r="B74" t="inlineStr">
        <is>
          <t>Upside</t>
        </is>
      </c>
      <c r="C74">
        <f>SUMIFS(Revenue!$F:$F,Revenue!$A:$A,A74,Revenue!$B:$B,B74)</f>
      </c>
      <c r="D74">
        <f>SUMIFS(Revenue!$K:$K,Revenue!$A:$A,A74,Revenue!$B:$B,B74)</f>
      </c>
      <c r="E74">
        <f>SUMIFS(Costs!$O:$O,Costs!$A:$A,A74,Costs!$B:$B,B74)</f>
      </c>
      <c r="F74">
        <f>SUMIFS(Costs!$C:$C,Costs!$A:$A,A74,Costs!$B:$B,B74)</f>
      </c>
      <c r="G74">
        <f>SUMIFS(Costs!$D:$D,Costs!$A:$A,A74,Costs!$B:$B,B74)</f>
      </c>
      <c r="H74">
        <f>IF(F74=0,0,(SUMIFS(Costs!$E:$E,Costs!$A:$A,A74,Costs!$B:$B,B74)+SUMIFS(Costs!$F:$F,Costs!$A:$A,A74,Costs!$B:$B,B74))/F74)</f>
      </c>
      <c r="I74">
        <f>IF(G74=0,0,C74/G74)</f>
      </c>
      <c r="J74">
        <f>IF(G74=0,0,D74/G74)</f>
      </c>
      <c r="K74">
        <f>D74-E74</f>
      </c>
      <c r="L74">
        <f>IF(J74&lt;=0,0,H74/J74)</f>
      </c>
      <c r="M74">
        <f>IF(INDEX(Assumptions!$C:$E,MATCH("Net platform margin before OPEX",Assumptions!$B:$B,0),MATCH(B74,Assumptions!$C$3:$E$3,0))=0,0,E74/INDEX(Assumptions!$C:$E,MATCH("Net platform margin before OPEX",Assumptions!$B:$B,0),MATCH(B74,Assumptions!$C$3:$E$3,0)))</f>
      </c>
    </row>
    <row r="75">
      <c r="A75">
        <v>2</v>
      </c>
      <c r="B75" t="inlineStr">
        <is>
          <t>Upside</t>
        </is>
      </c>
      <c r="C75">
        <f>SUMIFS(Revenue!$F:$F,Revenue!$A:$A,A75,Revenue!$B:$B,B75)</f>
      </c>
      <c r="D75">
        <f>SUMIFS(Revenue!$K:$K,Revenue!$A:$A,A75,Revenue!$B:$B,B75)</f>
      </c>
      <c r="E75">
        <f>SUMIFS(Costs!$O:$O,Costs!$A:$A,A75,Costs!$B:$B,B75)</f>
      </c>
      <c r="F75">
        <f>SUMIFS(Costs!$C:$C,Costs!$A:$A,A75,Costs!$B:$B,B75)</f>
      </c>
      <c r="G75">
        <f>SUMIFS(Costs!$D:$D,Costs!$A:$A,A75,Costs!$B:$B,B75)</f>
      </c>
      <c r="H75">
        <f>IF(F75=0,0,(SUMIFS(Costs!$E:$E,Costs!$A:$A,A75,Costs!$B:$B,B75)+SUMIFS(Costs!$F:$F,Costs!$A:$A,A75,Costs!$B:$B,B75))/F75)</f>
      </c>
      <c r="I75">
        <f>IF(G75=0,0,C75/G75)</f>
      </c>
      <c r="J75">
        <f>IF(G75=0,0,D75/G75)</f>
      </c>
      <c r="K75">
        <f>D75-E75</f>
      </c>
      <c r="L75">
        <f>IF(J75&lt;=0,0,H75/J75)</f>
      </c>
      <c r="M75">
        <f>IF(INDEX(Assumptions!$C:$E,MATCH("Net platform margin before OPEX",Assumptions!$B:$B,0),MATCH(B75,Assumptions!$C$3:$E$3,0))=0,0,E75/INDEX(Assumptions!$C:$E,MATCH("Net platform margin before OPEX",Assumptions!$B:$B,0),MATCH(B75,Assumptions!$C$3:$E$3,0)))</f>
      </c>
    </row>
    <row r="76">
      <c r="A76">
        <v>3</v>
      </c>
      <c r="B76" t="inlineStr">
        <is>
          <t>Upside</t>
        </is>
      </c>
      <c r="C76">
        <f>SUMIFS(Revenue!$F:$F,Revenue!$A:$A,A76,Revenue!$B:$B,B76)</f>
      </c>
      <c r="D76">
        <f>SUMIFS(Revenue!$K:$K,Revenue!$A:$A,A76,Revenue!$B:$B,B76)</f>
      </c>
      <c r="E76">
        <f>SUMIFS(Costs!$O:$O,Costs!$A:$A,A76,Costs!$B:$B,B76)</f>
      </c>
      <c r="F76">
        <f>SUMIFS(Costs!$C:$C,Costs!$A:$A,A76,Costs!$B:$B,B76)</f>
      </c>
      <c r="G76">
        <f>SUMIFS(Costs!$D:$D,Costs!$A:$A,A76,Costs!$B:$B,B76)</f>
      </c>
      <c r="H76">
        <f>IF(F76=0,0,(SUMIFS(Costs!$E:$E,Costs!$A:$A,A76,Costs!$B:$B,B76)+SUMIFS(Costs!$F:$F,Costs!$A:$A,A76,Costs!$B:$B,B76))/F76)</f>
      </c>
      <c r="I76">
        <f>IF(G76=0,0,C76/G76)</f>
      </c>
      <c r="J76">
        <f>IF(G76=0,0,D76/G76)</f>
      </c>
      <c r="K76">
        <f>D76-E76</f>
      </c>
      <c r="L76">
        <f>IF(J76&lt;=0,0,H76/J76)</f>
      </c>
      <c r="M76">
        <f>IF(INDEX(Assumptions!$C:$E,MATCH("Net platform margin before OPEX",Assumptions!$B:$B,0),MATCH(B76,Assumptions!$C$3:$E$3,0))=0,0,E76/INDEX(Assumptions!$C:$E,MATCH("Net platform margin before OPEX",Assumptions!$B:$B,0),MATCH(B76,Assumptions!$C$3:$E$3,0)))</f>
      </c>
    </row>
    <row r="77">
      <c r="A77">
        <v>4</v>
      </c>
      <c r="B77" t="inlineStr">
        <is>
          <t>Upside</t>
        </is>
      </c>
      <c r="C77">
        <f>SUMIFS(Revenue!$F:$F,Revenue!$A:$A,A77,Revenue!$B:$B,B77)</f>
      </c>
      <c r="D77">
        <f>SUMIFS(Revenue!$K:$K,Revenue!$A:$A,A77,Revenue!$B:$B,B77)</f>
      </c>
      <c r="E77">
        <f>SUMIFS(Costs!$O:$O,Costs!$A:$A,A77,Costs!$B:$B,B77)</f>
      </c>
      <c r="F77">
        <f>SUMIFS(Costs!$C:$C,Costs!$A:$A,A77,Costs!$B:$B,B77)</f>
      </c>
      <c r="G77">
        <f>SUMIFS(Costs!$D:$D,Costs!$A:$A,A77,Costs!$B:$B,B77)</f>
      </c>
      <c r="H77">
        <f>IF(F77=0,0,(SUMIFS(Costs!$E:$E,Costs!$A:$A,A77,Costs!$B:$B,B77)+SUMIFS(Costs!$F:$F,Costs!$A:$A,A77,Costs!$B:$B,B77))/F77)</f>
      </c>
      <c r="I77">
        <f>IF(G77=0,0,C77/G77)</f>
      </c>
      <c r="J77">
        <f>IF(G77=0,0,D77/G77)</f>
      </c>
      <c r="K77">
        <f>D77-E77</f>
      </c>
      <c r="L77">
        <f>IF(J77&lt;=0,0,H77/J77)</f>
      </c>
      <c r="M77">
        <f>IF(INDEX(Assumptions!$C:$E,MATCH("Net platform margin before OPEX",Assumptions!$B:$B,0),MATCH(B77,Assumptions!$C$3:$E$3,0))=0,0,E77/INDEX(Assumptions!$C:$E,MATCH("Net platform margin before OPEX",Assumptions!$B:$B,0),MATCH(B77,Assumptions!$C$3:$E$3,0)))</f>
      </c>
    </row>
    <row r="78">
      <c r="A78">
        <v>5</v>
      </c>
      <c r="B78" t="inlineStr">
        <is>
          <t>Upside</t>
        </is>
      </c>
      <c r="C78">
        <f>SUMIFS(Revenue!$F:$F,Revenue!$A:$A,A78,Revenue!$B:$B,B78)</f>
      </c>
      <c r="D78">
        <f>SUMIFS(Revenue!$K:$K,Revenue!$A:$A,A78,Revenue!$B:$B,B78)</f>
      </c>
      <c r="E78">
        <f>SUMIFS(Costs!$O:$O,Costs!$A:$A,A78,Costs!$B:$B,B78)</f>
      </c>
      <c r="F78">
        <f>SUMIFS(Costs!$C:$C,Costs!$A:$A,A78,Costs!$B:$B,B78)</f>
      </c>
      <c r="G78">
        <f>SUMIFS(Costs!$D:$D,Costs!$A:$A,A78,Costs!$B:$B,B78)</f>
      </c>
      <c r="H78">
        <f>IF(F78=0,0,(SUMIFS(Costs!$E:$E,Costs!$A:$A,A78,Costs!$B:$B,B78)+SUMIFS(Costs!$F:$F,Costs!$A:$A,A78,Costs!$B:$B,B78))/F78)</f>
      </c>
      <c r="I78">
        <f>IF(G78=0,0,C78/G78)</f>
      </c>
      <c r="J78">
        <f>IF(G78=0,0,D78/G78)</f>
      </c>
      <c r="K78">
        <f>D78-E78</f>
      </c>
      <c r="L78">
        <f>IF(J78&lt;=0,0,H78/J78)</f>
      </c>
      <c r="M78">
        <f>IF(INDEX(Assumptions!$C:$E,MATCH("Net platform margin before OPEX",Assumptions!$B:$B,0),MATCH(B78,Assumptions!$C$3:$E$3,0))=0,0,E78/INDEX(Assumptions!$C:$E,MATCH("Net platform margin before OPEX",Assumptions!$B:$B,0),MATCH(B78,Assumptions!$C$3:$E$3,0)))</f>
      </c>
    </row>
    <row r="79">
      <c r="A79">
        <v>6</v>
      </c>
      <c r="B79" t="inlineStr">
        <is>
          <t>Upside</t>
        </is>
      </c>
      <c r="C79">
        <f>SUMIFS(Revenue!$F:$F,Revenue!$A:$A,A79,Revenue!$B:$B,B79)</f>
      </c>
      <c r="D79">
        <f>SUMIFS(Revenue!$K:$K,Revenue!$A:$A,A79,Revenue!$B:$B,B79)</f>
      </c>
      <c r="E79">
        <f>SUMIFS(Costs!$O:$O,Costs!$A:$A,A79,Costs!$B:$B,B79)</f>
      </c>
      <c r="F79">
        <f>SUMIFS(Costs!$C:$C,Costs!$A:$A,A79,Costs!$B:$B,B79)</f>
      </c>
      <c r="G79">
        <f>SUMIFS(Costs!$D:$D,Costs!$A:$A,A79,Costs!$B:$B,B79)</f>
      </c>
      <c r="H79">
        <f>IF(F79=0,0,(SUMIFS(Costs!$E:$E,Costs!$A:$A,A79,Costs!$B:$B,B79)+SUMIFS(Costs!$F:$F,Costs!$A:$A,A79,Costs!$B:$B,B79))/F79)</f>
      </c>
      <c r="I79">
        <f>IF(G79=0,0,C79/G79)</f>
      </c>
      <c r="J79">
        <f>IF(G79=0,0,D79/G79)</f>
      </c>
      <c r="K79">
        <f>D79-E79</f>
      </c>
      <c r="L79">
        <f>IF(J79&lt;=0,0,H79/J79)</f>
      </c>
      <c r="M79">
        <f>IF(INDEX(Assumptions!$C:$E,MATCH("Net platform margin before OPEX",Assumptions!$B:$B,0),MATCH(B79,Assumptions!$C$3:$E$3,0))=0,0,E79/INDEX(Assumptions!$C:$E,MATCH("Net platform margin before OPEX",Assumptions!$B:$B,0),MATCH(B79,Assumptions!$C$3:$E$3,0)))</f>
      </c>
    </row>
    <row r="80">
      <c r="A80">
        <v>7</v>
      </c>
      <c r="B80" t="inlineStr">
        <is>
          <t>Upside</t>
        </is>
      </c>
      <c r="C80">
        <f>SUMIFS(Revenue!$F:$F,Revenue!$A:$A,A80,Revenue!$B:$B,B80)</f>
      </c>
      <c r="D80">
        <f>SUMIFS(Revenue!$K:$K,Revenue!$A:$A,A80,Revenue!$B:$B,B80)</f>
      </c>
      <c r="E80">
        <f>SUMIFS(Costs!$O:$O,Costs!$A:$A,A80,Costs!$B:$B,B80)</f>
      </c>
      <c r="F80">
        <f>SUMIFS(Costs!$C:$C,Costs!$A:$A,A80,Costs!$B:$B,B80)</f>
      </c>
      <c r="G80">
        <f>SUMIFS(Costs!$D:$D,Costs!$A:$A,A80,Costs!$B:$B,B80)</f>
      </c>
      <c r="H80">
        <f>IF(F80=0,0,(SUMIFS(Costs!$E:$E,Costs!$A:$A,A80,Costs!$B:$B,B80)+SUMIFS(Costs!$F:$F,Costs!$A:$A,A80,Costs!$B:$B,B80))/F80)</f>
      </c>
      <c r="I80">
        <f>IF(G80=0,0,C80/G80)</f>
      </c>
      <c r="J80">
        <f>IF(G80=0,0,D80/G80)</f>
      </c>
      <c r="K80">
        <f>D80-E80</f>
      </c>
      <c r="L80">
        <f>IF(J80&lt;=0,0,H80/J80)</f>
      </c>
      <c r="M80">
        <f>IF(INDEX(Assumptions!$C:$E,MATCH("Net platform margin before OPEX",Assumptions!$B:$B,0),MATCH(B80,Assumptions!$C$3:$E$3,0))=0,0,E80/INDEX(Assumptions!$C:$E,MATCH("Net platform margin before OPEX",Assumptions!$B:$B,0),MATCH(B80,Assumptions!$C$3:$E$3,0)))</f>
      </c>
    </row>
    <row r="81">
      <c r="A81">
        <v>8</v>
      </c>
      <c r="B81" t="inlineStr">
        <is>
          <t>Upside</t>
        </is>
      </c>
      <c r="C81">
        <f>SUMIFS(Revenue!$F:$F,Revenue!$A:$A,A81,Revenue!$B:$B,B81)</f>
      </c>
      <c r="D81">
        <f>SUMIFS(Revenue!$K:$K,Revenue!$A:$A,A81,Revenue!$B:$B,B81)</f>
      </c>
      <c r="E81">
        <f>SUMIFS(Costs!$O:$O,Costs!$A:$A,A81,Costs!$B:$B,B81)</f>
      </c>
      <c r="F81">
        <f>SUMIFS(Costs!$C:$C,Costs!$A:$A,A81,Costs!$B:$B,B81)</f>
      </c>
      <c r="G81">
        <f>SUMIFS(Costs!$D:$D,Costs!$A:$A,A81,Costs!$B:$B,B81)</f>
      </c>
      <c r="H81">
        <f>IF(F81=0,0,(SUMIFS(Costs!$E:$E,Costs!$A:$A,A81,Costs!$B:$B,B81)+SUMIFS(Costs!$F:$F,Costs!$A:$A,A81,Costs!$B:$B,B81))/F81)</f>
      </c>
      <c r="I81">
        <f>IF(G81=0,0,C81/G81)</f>
      </c>
      <c r="J81">
        <f>IF(G81=0,0,D81/G81)</f>
      </c>
      <c r="K81">
        <f>D81-E81</f>
      </c>
      <c r="L81">
        <f>IF(J81&lt;=0,0,H81/J81)</f>
      </c>
      <c r="M81">
        <f>IF(INDEX(Assumptions!$C:$E,MATCH("Net platform margin before OPEX",Assumptions!$B:$B,0),MATCH(B81,Assumptions!$C$3:$E$3,0))=0,0,E81/INDEX(Assumptions!$C:$E,MATCH("Net platform margin before OPEX",Assumptions!$B:$B,0),MATCH(B81,Assumptions!$C$3:$E$3,0)))</f>
      </c>
    </row>
    <row r="82">
      <c r="A82">
        <v>9</v>
      </c>
      <c r="B82" t="inlineStr">
        <is>
          <t>Upside</t>
        </is>
      </c>
      <c r="C82">
        <f>SUMIFS(Revenue!$F:$F,Revenue!$A:$A,A82,Revenue!$B:$B,B82)</f>
      </c>
      <c r="D82">
        <f>SUMIFS(Revenue!$K:$K,Revenue!$A:$A,A82,Revenue!$B:$B,B82)</f>
      </c>
      <c r="E82">
        <f>SUMIFS(Costs!$O:$O,Costs!$A:$A,A82,Costs!$B:$B,B82)</f>
      </c>
      <c r="F82">
        <f>SUMIFS(Costs!$C:$C,Costs!$A:$A,A82,Costs!$B:$B,B82)</f>
      </c>
      <c r="G82">
        <f>SUMIFS(Costs!$D:$D,Costs!$A:$A,A82,Costs!$B:$B,B82)</f>
      </c>
      <c r="H82">
        <f>IF(F82=0,0,(SUMIFS(Costs!$E:$E,Costs!$A:$A,A82,Costs!$B:$B,B82)+SUMIFS(Costs!$F:$F,Costs!$A:$A,A82,Costs!$B:$B,B82))/F82)</f>
      </c>
      <c r="I82">
        <f>IF(G82=0,0,C82/G82)</f>
      </c>
      <c r="J82">
        <f>IF(G82=0,0,D82/G82)</f>
      </c>
      <c r="K82">
        <f>D82-E82</f>
      </c>
      <c r="L82">
        <f>IF(J82&lt;=0,0,H82/J82)</f>
      </c>
      <c r="M82">
        <f>IF(INDEX(Assumptions!$C:$E,MATCH("Net platform margin before OPEX",Assumptions!$B:$B,0),MATCH(B82,Assumptions!$C$3:$E$3,0))=0,0,E82/INDEX(Assumptions!$C:$E,MATCH("Net platform margin before OPEX",Assumptions!$B:$B,0),MATCH(B82,Assumptions!$C$3:$E$3,0)))</f>
      </c>
    </row>
    <row r="83">
      <c r="A83">
        <v>10</v>
      </c>
      <c r="B83" t="inlineStr">
        <is>
          <t>Upside</t>
        </is>
      </c>
      <c r="C83">
        <f>SUMIFS(Revenue!$F:$F,Revenue!$A:$A,A83,Revenue!$B:$B,B83)</f>
      </c>
      <c r="D83">
        <f>SUMIFS(Revenue!$K:$K,Revenue!$A:$A,A83,Revenue!$B:$B,B83)</f>
      </c>
      <c r="E83">
        <f>SUMIFS(Costs!$O:$O,Costs!$A:$A,A83,Costs!$B:$B,B83)</f>
      </c>
      <c r="F83">
        <f>SUMIFS(Costs!$C:$C,Costs!$A:$A,A83,Costs!$B:$B,B83)</f>
      </c>
      <c r="G83">
        <f>SUMIFS(Costs!$D:$D,Costs!$A:$A,A83,Costs!$B:$B,B83)</f>
      </c>
      <c r="H83">
        <f>IF(F83=0,0,(SUMIFS(Costs!$E:$E,Costs!$A:$A,A83,Costs!$B:$B,B83)+SUMIFS(Costs!$F:$F,Costs!$A:$A,A83,Costs!$B:$B,B83))/F83)</f>
      </c>
      <c r="I83">
        <f>IF(G83=0,0,C83/G83)</f>
      </c>
      <c r="J83">
        <f>IF(G83=0,0,D83/G83)</f>
      </c>
      <c r="K83">
        <f>D83-E83</f>
      </c>
      <c r="L83">
        <f>IF(J83&lt;=0,0,H83/J83)</f>
      </c>
      <c r="M83">
        <f>IF(INDEX(Assumptions!$C:$E,MATCH("Net platform margin before OPEX",Assumptions!$B:$B,0),MATCH(B83,Assumptions!$C$3:$E$3,0))=0,0,E83/INDEX(Assumptions!$C:$E,MATCH("Net platform margin before OPEX",Assumptions!$B:$B,0),MATCH(B83,Assumptions!$C$3:$E$3,0)))</f>
      </c>
    </row>
    <row r="84">
      <c r="A84">
        <v>11</v>
      </c>
      <c r="B84" t="inlineStr">
        <is>
          <t>Upside</t>
        </is>
      </c>
      <c r="C84">
        <f>SUMIFS(Revenue!$F:$F,Revenue!$A:$A,A84,Revenue!$B:$B,B84)</f>
      </c>
      <c r="D84">
        <f>SUMIFS(Revenue!$K:$K,Revenue!$A:$A,A84,Revenue!$B:$B,B84)</f>
      </c>
      <c r="E84">
        <f>SUMIFS(Costs!$O:$O,Costs!$A:$A,A84,Costs!$B:$B,B84)</f>
      </c>
      <c r="F84">
        <f>SUMIFS(Costs!$C:$C,Costs!$A:$A,A84,Costs!$B:$B,B84)</f>
      </c>
      <c r="G84">
        <f>SUMIFS(Costs!$D:$D,Costs!$A:$A,A84,Costs!$B:$B,B84)</f>
      </c>
      <c r="H84">
        <f>IF(F84=0,0,(SUMIFS(Costs!$E:$E,Costs!$A:$A,A84,Costs!$B:$B,B84)+SUMIFS(Costs!$F:$F,Costs!$A:$A,A84,Costs!$B:$B,B84))/F84)</f>
      </c>
      <c r="I84">
        <f>IF(G84=0,0,C84/G84)</f>
      </c>
      <c r="J84">
        <f>IF(G84=0,0,D84/G84)</f>
      </c>
      <c r="K84">
        <f>D84-E84</f>
      </c>
      <c r="L84">
        <f>IF(J84&lt;=0,0,H84/J84)</f>
      </c>
      <c r="M84">
        <f>IF(INDEX(Assumptions!$C:$E,MATCH("Net platform margin before OPEX",Assumptions!$B:$B,0),MATCH(B84,Assumptions!$C$3:$E$3,0))=0,0,E84/INDEX(Assumptions!$C:$E,MATCH("Net platform margin before OPEX",Assumptions!$B:$B,0),MATCH(B84,Assumptions!$C$3:$E$3,0)))</f>
      </c>
    </row>
    <row r="85">
      <c r="A85">
        <v>12</v>
      </c>
      <c r="B85" t="inlineStr">
        <is>
          <t>Upside</t>
        </is>
      </c>
      <c r="C85">
        <f>SUMIFS(Revenue!$F:$F,Revenue!$A:$A,A85,Revenue!$B:$B,B85)</f>
      </c>
      <c r="D85">
        <f>SUMIFS(Revenue!$K:$K,Revenue!$A:$A,A85,Revenue!$B:$B,B85)</f>
      </c>
      <c r="E85">
        <f>SUMIFS(Costs!$O:$O,Costs!$A:$A,A85,Costs!$B:$B,B85)</f>
      </c>
      <c r="F85">
        <f>SUMIFS(Costs!$C:$C,Costs!$A:$A,A85,Costs!$B:$B,B85)</f>
      </c>
      <c r="G85">
        <f>SUMIFS(Costs!$D:$D,Costs!$A:$A,A85,Costs!$B:$B,B85)</f>
      </c>
      <c r="H85">
        <f>IF(F85=0,0,(SUMIFS(Costs!$E:$E,Costs!$A:$A,A85,Costs!$B:$B,B85)+SUMIFS(Costs!$F:$F,Costs!$A:$A,A85,Costs!$B:$B,B85))/F85)</f>
      </c>
      <c r="I85">
        <f>IF(G85=0,0,C85/G85)</f>
      </c>
      <c r="J85">
        <f>IF(G85=0,0,D85/G85)</f>
      </c>
      <c r="K85">
        <f>D85-E85</f>
      </c>
      <c r="L85">
        <f>IF(J85&lt;=0,0,H85/J85)</f>
      </c>
      <c r="M85">
        <f>IF(INDEX(Assumptions!$C:$E,MATCH("Net platform margin before OPEX",Assumptions!$B:$B,0),MATCH(B85,Assumptions!$C$3:$E$3,0))=0,0,E85/INDEX(Assumptions!$C:$E,MATCH("Net platform margin before OPEX",Assumptions!$B:$B,0),MATCH(B85,Assumptions!$C$3:$E$3,0)))</f>
      </c>
    </row>
    <row r="86">
      <c r="A86">
        <v>13</v>
      </c>
      <c r="B86" t="inlineStr">
        <is>
          <t>Upside</t>
        </is>
      </c>
      <c r="C86">
        <f>SUMIFS(Revenue!$F:$F,Revenue!$A:$A,A86,Revenue!$B:$B,B86)</f>
      </c>
      <c r="D86">
        <f>SUMIFS(Revenue!$K:$K,Revenue!$A:$A,A86,Revenue!$B:$B,B86)</f>
      </c>
      <c r="E86">
        <f>SUMIFS(Costs!$O:$O,Costs!$A:$A,A86,Costs!$B:$B,B86)</f>
      </c>
      <c r="F86">
        <f>SUMIFS(Costs!$C:$C,Costs!$A:$A,A86,Costs!$B:$B,B86)</f>
      </c>
      <c r="G86">
        <f>SUMIFS(Costs!$D:$D,Costs!$A:$A,A86,Costs!$B:$B,B86)</f>
      </c>
      <c r="H86">
        <f>IF(F86=0,0,(SUMIFS(Costs!$E:$E,Costs!$A:$A,A86,Costs!$B:$B,B86)+SUMIFS(Costs!$F:$F,Costs!$A:$A,A86,Costs!$B:$B,B86))/F86)</f>
      </c>
      <c r="I86">
        <f>IF(G86=0,0,C86/G86)</f>
      </c>
      <c r="J86">
        <f>IF(G86=0,0,D86/G86)</f>
      </c>
      <c r="K86">
        <f>D86-E86</f>
      </c>
      <c r="L86">
        <f>IF(J86&lt;=0,0,H86/J86)</f>
      </c>
      <c r="M86">
        <f>IF(INDEX(Assumptions!$C:$E,MATCH("Net platform margin before OPEX",Assumptions!$B:$B,0),MATCH(B86,Assumptions!$C$3:$E$3,0))=0,0,E86/INDEX(Assumptions!$C:$E,MATCH("Net platform margin before OPEX",Assumptions!$B:$B,0),MATCH(B86,Assumptions!$C$3:$E$3,0)))</f>
      </c>
    </row>
    <row r="87">
      <c r="A87">
        <v>14</v>
      </c>
      <c r="B87" t="inlineStr">
        <is>
          <t>Upside</t>
        </is>
      </c>
      <c r="C87">
        <f>SUMIFS(Revenue!$F:$F,Revenue!$A:$A,A87,Revenue!$B:$B,B87)</f>
      </c>
      <c r="D87">
        <f>SUMIFS(Revenue!$K:$K,Revenue!$A:$A,A87,Revenue!$B:$B,B87)</f>
      </c>
      <c r="E87">
        <f>SUMIFS(Costs!$O:$O,Costs!$A:$A,A87,Costs!$B:$B,B87)</f>
      </c>
      <c r="F87">
        <f>SUMIFS(Costs!$C:$C,Costs!$A:$A,A87,Costs!$B:$B,B87)</f>
      </c>
      <c r="G87">
        <f>SUMIFS(Costs!$D:$D,Costs!$A:$A,A87,Costs!$B:$B,B87)</f>
      </c>
      <c r="H87">
        <f>IF(F87=0,0,(SUMIFS(Costs!$E:$E,Costs!$A:$A,A87,Costs!$B:$B,B87)+SUMIFS(Costs!$F:$F,Costs!$A:$A,A87,Costs!$B:$B,B87))/F87)</f>
      </c>
      <c r="I87">
        <f>IF(G87=0,0,C87/G87)</f>
      </c>
      <c r="J87">
        <f>IF(G87=0,0,D87/G87)</f>
      </c>
      <c r="K87">
        <f>D87-E87</f>
      </c>
      <c r="L87">
        <f>IF(J87&lt;=0,0,H87/J87)</f>
      </c>
      <c r="M87">
        <f>IF(INDEX(Assumptions!$C:$E,MATCH("Net platform margin before OPEX",Assumptions!$B:$B,0),MATCH(B87,Assumptions!$C$3:$E$3,0))=0,0,E87/INDEX(Assumptions!$C:$E,MATCH("Net platform margin before OPEX",Assumptions!$B:$B,0),MATCH(B87,Assumptions!$C$3:$E$3,0)))</f>
      </c>
    </row>
    <row r="88">
      <c r="A88">
        <v>15</v>
      </c>
      <c r="B88" t="inlineStr">
        <is>
          <t>Upside</t>
        </is>
      </c>
      <c r="C88">
        <f>SUMIFS(Revenue!$F:$F,Revenue!$A:$A,A88,Revenue!$B:$B,B88)</f>
      </c>
      <c r="D88">
        <f>SUMIFS(Revenue!$K:$K,Revenue!$A:$A,A88,Revenue!$B:$B,B88)</f>
      </c>
      <c r="E88">
        <f>SUMIFS(Costs!$O:$O,Costs!$A:$A,A88,Costs!$B:$B,B88)</f>
      </c>
      <c r="F88">
        <f>SUMIFS(Costs!$C:$C,Costs!$A:$A,A88,Costs!$B:$B,B88)</f>
      </c>
      <c r="G88">
        <f>SUMIFS(Costs!$D:$D,Costs!$A:$A,A88,Costs!$B:$B,B88)</f>
      </c>
      <c r="H88">
        <f>IF(F88=0,0,(SUMIFS(Costs!$E:$E,Costs!$A:$A,A88,Costs!$B:$B,B88)+SUMIFS(Costs!$F:$F,Costs!$A:$A,A88,Costs!$B:$B,B88))/F88)</f>
      </c>
      <c r="I88">
        <f>IF(G88=0,0,C88/G88)</f>
      </c>
      <c r="J88">
        <f>IF(G88=0,0,D88/G88)</f>
      </c>
      <c r="K88">
        <f>D88-E88</f>
      </c>
      <c r="L88">
        <f>IF(J88&lt;=0,0,H88/J88)</f>
      </c>
      <c r="M88">
        <f>IF(INDEX(Assumptions!$C:$E,MATCH("Net platform margin before OPEX",Assumptions!$B:$B,0),MATCH(B88,Assumptions!$C$3:$E$3,0))=0,0,E88/INDEX(Assumptions!$C:$E,MATCH("Net platform margin before OPEX",Assumptions!$B:$B,0),MATCH(B88,Assumptions!$C$3:$E$3,0)))</f>
      </c>
    </row>
    <row r="89">
      <c r="A89">
        <v>16</v>
      </c>
      <c r="B89" t="inlineStr">
        <is>
          <t>Upside</t>
        </is>
      </c>
      <c r="C89">
        <f>SUMIFS(Revenue!$F:$F,Revenue!$A:$A,A89,Revenue!$B:$B,B89)</f>
      </c>
      <c r="D89">
        <f>SUMIFS(Revenue!$K:$K,Revenue!$A:$A,A89,Revenue!$B:$B,B89)</f>
      </c>
      <c r="E89">
        <f>SUMIFS(Costs!$O:$O,Costs!$A:$A,A89,Costs!$B:$B,B89)</f>
      </c>
      <c r="F89">
        <f>SUMIFS(Costs!$C:$C,Costs!$A:$A,A89,Costs!$B:$B,B89)</f>
      </c>
      <c r="G89">
        <f>SUMIFS(Costs!$D:$D,Costs!$A:$A,A89,Costs!$B:$B,B89)</f>
      </c>
      <c r="H89">
        <f>IF(F89=0,0,(SUMIFS(Costs!$E:$E,Costs!$A:$A,A89,Costs!$B:$B,B89)+SUMIFS(Costs!$F:$F,Costs!$A:$A,A89,Costs!$B:$B,B89))/F89)</f>
      </c>
      <c r="I89">
        <f>IF(G89=0,0,C89/G89)</f>
      </c>
      <c r="J89">
        <f>IF(G89=0,0,D89/G89)</f>
      </c>
      <c r="K89">
        <f>D89-E89</f>
      </c>
      <c r="L89">
        <f>IF(J89&lt;=0,0,H89/J89)</f>
      </c>
      <c r="M89">
        <f>IF(INDEX(Assumptions!$C:$E,MATCH("Net platform margin before OPEX",Assumptions!$B:$B,0),MATCH(B89,Assumptions!$C$3:$E$3,0))=0,0,E89/INDEX(Assumptions!$C:$E,MATCH("Net platform margin before OPEX",Assumptions!$B:$B,0),MATCH(B89,Assumptions!$C$3:$E$3,0)))</f>
      </c>
    </row>
    <row r="90">
      <c r="A90">
        <v>17</v>
      </c>
      <c r="B90" t="inlineStr">
        <is>
          <t>Upside</t>
        </is>
      </c>
      <c r="C90">
        <f>SUMIFS(Revenue!$F:$F,Revenue!$A:$A,A90,Revenue!$B:$B,B90)</f>
      </c>
      <c r="D90">
        <f>SUMIFS(Revenue!$K:$K,Revenue!$A:$A,A90,Revenue!$B:$B,B90)</f>
      </c>
      <c r="E90">
        <f>SUMIFS(Costs!$O:$O,Costs!$A:$A,A90,Costs!$B:$B,B90)</f>
      </c>
      <c r="F90">
        <f>SUMIFS(Costs!$C:$C,Costs!$A:$A,A90,Costs!$B:$B,B90)</f>
      </c>
      <c r="G90">
        <f>SUMIFS(Costs!$D:$D,Costs!$A:$A,A90,Costs!$B:$B,B90)</f>
      </c>
      <c r="H90">
        <f>IF(F90=0,0,(SUMIFS(Costs!$E:$E,Costs!$A:$A,A90,Costs!$B:$B,B90)+SUMIFS(Costs!$F:$F,Costs!$A:$A,A90,Costs!$B:$B,B90))/F90)</f>
      </c>
      <c r="I90">
        <f>IF(G90=0,0,C90/G90)</f>
      </c>
      <c r="J90">
        <f>IF(G90=0,0,D90/G90)</f>
      </c>
      <c r="K90">
        <f>D90-E90</f>
      </c>
      <c r="L90">
        <f>IF(J90&lt;=0,0,H90/J90)</f>
      </c>
      <c r="M90">
        <f>IF(INDEX(Assumptions!$C:$E,MATCH("Net platform margin before OPEX",Assumptions!$B:$B,0),MATCH(B90,Assumptions!$C$3:$E$3,0))=0,0,E90/INDEX(Assumptions!$C:$E,MATCH("Net platform margin before OPEX",Assumptions!$B:$B,0),MATCH(B90,Assumptions!$C$3:$E$3,0)))</f>
      </c>
    </row>
    <row r="91">
      <c r="A91">
        <v>18</v>
      </c>
      <c r="B91" t="inlineStr">
        <is>
          <t>Upside</t>
        </is>
      </c>
      <c r="C91">
        <f>SUMIFS(Revenue!$F:$F,Revenue!$A:$A,A91,Revenue!$B:$B,B91)</f>
      </c>
      <c r="D91">
        <f>SUMIFS(Revenue!$K:$K,Revenue!$A:$A,A91,Revenue!$B:$B,B91)</f>
      </c>
      <c r="E91">
        <f>SUMIFS(Costs!$O:$O,Costs!$A:$A,A91,Costs!$B:$B,B91)</f>
      </c>
      <c r="F91">
        <f>SUMIFS(Costs!$C:$C,Costs!$A:$A,A91,Costs!$B:$B,B91)</f>
      </c>
      <c r="G91">
        <f>SUMIFS(Costs!$D:$D,Costs!$A:$A,A91,Costs!$B:$B,B91)</f>
      </c>
      <c r="H91">
        <f>IF(F91=0,0,(SUMIFS(Costs!$E:$E,Costs!$A:$A,A91,Costs!$B:$B,B91)+SUMIFS(Costs!$F:$F,Costs!$A:$A,A91,Costs!$B:$B,B91))/F91)</f>
      </c>
      <c r="I91">
        <f>IF(G91=0,0,C91/G91)</f>
      </c>
      <c r="J91">
        <f>IF(G91=0,0,D91/G91)</f>
      </c>
      <c r="K91">
        <f>D91-E91</f>
      </c>
      <c r="L91">
        <f>IF(J91&lt;=0,0,H91/J91)</f>
      </c>
      <c r="M91">
        <f>IF(INDEX(Assumptions!$C:$E,MATCH("Net platform margin before OPEX",Assumptions!$B:$B,0),MATCH(B91,Assumptions!$C$3:$E$3,0))=0,0,E91/INDEX(Assumptions!$C:$E,MATCH("Net platform margin before OPEX",Assumptions!$B:$B,0),MATCH(B91,Assumptions!$C$3:$E$3,0)))</f>
      </c>
    </row>
    <row r="92">
      <c r="A92">
        <v>19</v>
      </c>
      <c r="B92" t="inlineStr">
        <is>
          <t>Upside</t>
        </is>
      </c>
      <c r="C92">
        <f>SUMIFS(Revenue!$F:$F,Revenue!$A:$A,A92,Revenue!$B:$B,B92)</f>
      </c>
      <c r="D92">
        <f>SUMIFS(Revenue!$K:$K,Revenue!$A:$A,A92,Revenue!$B:$B,B92)</f>
      </c>
      <c r="E92">
        <f>SUMIFS(Costs!$O:$O,Costs!$A:$A,A92,Costs!$B:$B,B92)</f>
      </c>
      <c r="F92">
        <f>SUMIFS(Costs!$C:$C,Costs!$A:$A,A92,Costs!$B:$B,B92)</f>
      </c>
      <c r="G92">
        <f>SUMIFS(Costs!$D:$D,Costs!$A:$A,A92,Costs!$B:$B,B92)</f>
      </c>
      <c r="H92">
        <f>IF(F92=0,0,(SUMIFS(Costs!$E:$E,Costs!$A:$A,A92,Costs!$B:$B,B92)+SUMIFS(Costs!$F:$F,Costs!$A:$A,A92,Costs!$B:$B,B92))/F92)</f>
      </c>
      <c r="I92">
        <f>IF(G92=0,0,C92/G92)</f>
      </c>
      <c r="J92">
        <f>IF(G92=0,0,D92/G92)</f>
      </c>
      <c r="K92">
        <f>D92-E92</f>
      </c>
      <c r="L92">
        <f>IF(J92&lt;=0,0,H92/J92)</f>
      </c>
      <c r="M92">
        <f>IF(INDEX(Assumptions!$C:$E,MATCH("Net platform margin before OPEX",Assumptions!$B:$B,0),MATCH(B92,Assumptions!$C$3:$E$3,0))=0,0,E92/INDEX(Assumptions!$C:$E,MATCH("Net platform margin before OPEX",Assumptions!$B:$B,0),MATCH(B92,Assumptions!$C$3:$E$3,0)))</f>
      </c>
    </row>
    <row r="93">
      <c r="A93">
        <v>20</v>
      </c>
      <c r="B93" t="inlineStr">
        <is>
          <t>Upside</t>
        </is>
      </c>
      <c r="C93">
        <f>SUMIFS(Revenue!$F:$F,Revenue!$A:$A,A93,Revenue!$B:$B,B93)</f>
      </c>
      <c r="D93">
        <f>SUMIFS(Revenue!$K:$K,Revenue!$A:$A,A93,Revenue!$B:$B,B93)</f>
      </c>
      <c r="E93">
        <f>SUMIFS(Costs!$O:$O,Costs!$A:$A,A93,Costs!$B:$B,B93)</f>
      </c>
      <c r="F93">
        <f>SUMIFS(Costs!$C:$C,Costs!$A:$A,A93,Costs!$B:$B,B93)</f>
      </c>
      <c r="G93">
        <f>SUMIFS(Costs!$D:$D,Costs!$A:$A,A93,Costs!$B:$B,B93)</f>
      </c>
      <c r="H93">
        <f>IF(F93=0,0,(SUMIFS(Costs!$E:$E,Costs!$A:$A,A93,Costs!$B:$B,B93)+SUMIFS(Costs!$F:$F,Costs!$A:$A,A93,Costs!$B:$B,B93))/F93)</f>
      </c>
      <c r="I93">
        <f>IF(G93=0,0,C93/G93)</f>
      </c>
      <c r="J93">
        <f>IF(G93=0,0,D93/G93)</f>
      </c>
      <c r="K93">
        <f>D93-E93</f>
      </c>
      <c r="L93">
        <f>IF(J93&lt;=0,0,H93/J93)</f>
      </c>
      <c r="M93">
        <f>IF(INDEX(Assumptions!$C:$E,MATCH("Net platform margin before OPEX",Assumptions!$B:$B,0),MATCH(B93,Assumptions!$C$3:$E$3,0))=0,0,E93/INDEX(Assumptions!$C:$E,MATCH("Net platform margin before OPEX",Assumptions!$B:$B,0),MATCH(B93,Assumptions!$C$3:$E$3,0)))</f>
      </c>
    </row>
    <row r="94">
      <c r="A94">
        <v>21</v>
      </c>
      <c r="B94" t="inlineStr">
        <is>
          <t>Upside</t>
        </is>
      </c>
      <c r="C94">
        <f>SUMIFS(Revenue!$F:$F,Revenue!$A:$A,A94,Revenue!$B:$B,B94)</f>
      </c>
      <c r="D94">
        <f>SUMIFS(Revenue!$K:$K,Revenue!$A:$A,A94,Revenue!$B:$B,B94)</f>
      </c>
      <c r="E94">
        <f>SUMIFS(Costs!$O:$O,Costs!$A:$A,A94,Costs!$B:$B,B94)</f>
      </c>
      <c r="F94">
        <f>SUMIFS(Costs!$C:$C,Costs!$A:$A,A94,Costs!$B:$B,B94)</f>
      </c>
      <c r="G94">
        <f>SUMIFS(Costs!$D:$D,Costs!$A:$A,A94,Costs!$B:$B,B94)</f>
      </c>
      <c r="H94">
        <f>IF(F94=0,0,(SUMIFS(Costs!$E:$E,Costs!$A:$A,A94,Costs!$B:$B,B94)+SUMIFS(Costs!$F:$F,Costs!$A:$A,A94,Costs!$B:$B,B94))/F94)</f>
      </c>
      <c r="I94">
        <f>IF(G94=0,0,C94/G94)</f>
      </c>
      <c r="J94">
        <f>IF(G94=0,0,D94/G94)</f>
      </c>
      <c r="K94">
        <f>D94-E94</f>
      </c>
      <c r="L94">
        <f>IF(J94&lt;=0,0,H94/J94)</f>
      </c>
      <c r="M94">
        <f>IF(INDEX(Assumptions!$C:$E,MATCH("Net platform margin before OPEX",Assumptions!$B:$B,0),MATCH(B94,Assumptions!$C$3:$E$3,0))=0,0,E94/INDEX(Assumptions!$C:$E,MATCH("Net platform margin before OPEX",Assumptions!$B:$B,0),MATCH(B94,Assumptions!$C$3:$E$3,0)))</f>
      </c>
    </row>
    <row r="95">
      <c r="A95">
        <v>22</v>
      </c>
      <c r="B95" t="inlineStr">
        <is>
          <t>Upside</t>
        </is>
      </c>
      <c r="C95">
        <f>SUMIFS(Revenue!$F:$F,Revenue!$A:$A,A95,Revenue!$B:$B,B95)</f>
      </c>
      <c r="D95">
        <f>SUMIFS(Revenue!$K:$K,Revenue!$A:$A,A95,Revenue!$B:$B,B95)</f>
      </c>
      <c r="E95">
        <f>SUMIFS(Costs!$O:$O,Costs!$A:$A,A95,Costs!$B:$B,B95)</f>
      </c>
      <c r="F95">
        <f>SUMIFS(Costs!$C:$C,Costs!$A:$A,A95,Costs!$B:$B,B95)</f>
      </c>
      <c r="G95">
        <f>SUMIFS(Costs!$D:$D,Costs!$A:$A,A95,Costs!$B:$B,B95)</f>
      </c>
      <c r="H95">
        <f>IF(F95=0,0,(SUMIFS(Costs!$E:$E,Costs!$A:$A,A95,Costs!$B:$B,B95)+SUMIFS(Costs!$F:$F,Costs!$A:$A,A95,Costs!$B:$B,B95))/F95)</f>
      </c>
      <c r="I95">
        <f>IF(G95=0,0,C95/G95)</f>
      </c>
      <c r="J95">
        <f>IF(G95=0,0,D95/G95)</f>
      </c>
      <c r="K95">
        <f>D95-E95</f>
      </c>
      <c r="L95">
        <f>IF(J95&lt;=0,0,H95/J95)</f>
      </c>
      <c r="M95">
        <f>IF(INDEX(Assumptions!$C:$E,MATCH("Net platform margin before OPEX",Assumptions!$B:$B,0),MATCH(B95,Assumptions!$C$3:$E$3,0))=0,0,E95/INDEX(Assumptions!$C:$E,MATCH("Net platform margin before OPEX",Assumptions!$B:$B,0),MATCH(B95,Assumptions!$C$3:$E$3,0)))</f>
      </c>
    </row>
    <row r="96">
      <c r="A96">
        <v>23</v>
      </c>
      <c r="B96" t="inlineStr">
        <is>
          <t>Upside</t>
        </is>
      </c>
      <c r="C96">
        <f>SUMIFS(Revenue!$F:$F,Revenue!$A:$A,A96,Revenue!$B:$B,B96)</f>
      </c>
      <c r="D96">
        <f>SUMIFS(Revenue!$K:$K,Revenue!$A:$A,A96,Revenue!$B:$B,B96)</f>
      </c>
      <c r="E96">
        <f>SUMIFS(Costs!$O:$O,Costs!$A:$A,A96,Costs!$B:$B,B96)</f>
      </c>
      <c r="F96">
        <f>SUMIFS(Costs!$C:$C,Costs!$A:$A,A96,Costs!$B:$B,B96)</f>
      </c>
      <c r="G96">
        <f>SUMIFS(Costs!$D:$D,Costs!$A:$A,A96,Costs!$B:$B,B96)</f>
      </c>
      <c r="H96">
        <f>IF(F96=0,0,(SUMIFS(Costs!$E:$E,Costs!$A:$A,A96,Costs!$B:$B,B96)+SUMIFS(Costs!$F:$F,Costs!$A:$A,A96,Costs!$B:$B,B96))/F96)</f>
      </c>
      <c r="I96">
        <f>IF(G96=0,0,C96/G96)</f>
      </c>
      <c r="J96">
        <f>IF(G96=0,0,D96/G96)</f>
      </c>
      <c r="K96">
        <f>D96-E96</f>
      </c>
      <c r="L96">
        <f>IF(J96&lt;=0,0,H96/J96)</f>
      </c>
      <c r="M96">
        <f>IF(INDEX(Assumptions!$C:$E,MATCH("Net platform margin before OPEX",Assumptions!$B:$B,0),MATCH(B96,Assumptions!$C$3:$E$3,0))=0,0,E96/INDEX(Assumptions!$C:$E,MATCH("Net platform margin before OPEX",Assumptions!$B:$B,0),MATCH(B96,Assumptions!$C$3:$E$3,0)))</f>
      </c>
    </row>
    <row r="97">
      <c r="A97">
        <v>24</v>
      </c>
      <c r="B97" t="inlineStr">
        <is>
          <t>Upside</t>
        </is>
      </c>
      <c r="C97">
        <f>SUMIFS(Revenue!$F:$F,Revenue!$A:$A,A97,Revenue!$B:$B,B97)</f>
      </c>
      <c r="D97">
        <f>SUMIFS(Revenue!$K:$K,Revenue!$A:$A,A97,Revenue!$B:$B,B97)</f>
      </c>
      <c r="E97">
        <f>SUMIFS(Costs!$O:$O,Costs!$A:$A,A97,Costs!$B:$B,B97)</f>
      </c>
      <c r="F97">
        <f>SUMIFS(Costs!$C:$C,Costs!$A:$A,A97,Costs!$B:$B,B97)</f>
      </c>
      <c r="G97">
        <f>SUMIFS(Costs!$D:$D,Costs!$A:$A,A97,Costs!$B:$B,B97)</f>
      </c>
      <c r="H97">
        <f>IF(F97=0,0,(SUMIFS(Costs!$E:$E,Costs!$A:$A,A97,Costs!$B:$B,B97)+SUMIFS(Costs!$F:$F,Costs!$A:$A,A97,Costs!$B:$B,B97))/F97)</f>
      </c>
      <c r="I97">
        <f>IF(G97=0,0,C97/G97)</f>
      </c>
      <c r="J97">
        <f>IF(G97=0,0,D97/G97)</f>
      </c>
      <c r="K97">
        <f>D97-E97</f>
      </c>
      <c r="L97">
        <f>IF(J97&lt;=0,0,H97/J97)</f>
      </c>
      <c r="M97">
        <f>IF(INDEX(Assumptions!$C:$E,MATCH("Net platform margin before OPEX",Assumptions!$B:$B,0),MATCH(B97,Assumptions!$C$3:$E$3,0))=0,0,E97/INDEX(Assumptions!$C:$E,MATCH("Net platform margin before OPEX",Assumptions!$B:$B,0),MATCH(B97,Assumptions!$C$3:$E$3,0)))</f>
      </c>
    </row>
    <row r="98">
      <c r="A98">
        <v>25</v>
      </c>
      <c r="B98" t="inlineStr">
        <is>
          <t>Upside</t>
        </is>
      </c>
      <c r="C98">
        <f>SUMIFS(Revenue!$F:$F,Revenue!$A:$A,A98,Revenue!$B:$B,B98)</f>
      </c>
      <c r="D98">
        <f>SUMIFS(Revenue!$K:$K,Revenue!$A:$A,A98,Revenue!$B:$B,B98)</f>
      </c>
      <c r="E98">
        <f>SUMIFS(Costs!$O:$O,Costs!$A:$A,A98,Costs!$B:$B,B98)</f>
      </c>
      <c r="F98">
        <f>SUMIFS(Costs!$C:$C,Costs!$A:$A,A98,Costs!$B:$B,B98)</f>
      </c>
      <c r="G98">
        <f>SUMIFS(Costs!$D:$D,Costs!$A:$A,A98,Costs!$B:$B,B98)</f>
      </c>
      <c r="H98">
        <f>IF(F98=0,0,(SUMIFS(Costs!$E:$E,Costs!$A:$A,A98,Costs!$B:$B,B98)+SUMIFS(Costs!$F:$F,Costs!$A:$A,A98,Costs!$B:$B,B98))/F98)</f>
      </c>
      <c r="I98">
        <f>IF(G98=0,0,C98/G98)</f>
      </c>
      <c r="J98">
        <f>IF(G98=0,0,D98/G98)</f>
      </c>
      <c r="K98">
        <f>D98-E98</f>
      </c>
      <c r="L98">
        <f>IF(J98&lt;=0,0,H98/J98)</f>
      </c>
      <c r="M98">
        <f>IF(INDEX(Assumptions!$C:$E,MATCH("Net platform margin before OPEX",Assumptions!$B:$B,0),MATCH(B98,Assumptions!$C$3:$E$3,0))=0,0,E98/INDEX(Assumptions!$C:$E,MATCH("Net platform margin before OPEX",Assumptions!$B:$B,0),MATCH(B98,Assumptions!$C$3:$E$3,0)))</f>
      </c>
    </row>
    <row r="99">
      <c r="A99">
        <v>26</v>
      </c>
      <c r="B99" t="inlineStr">
        <is>
          <t>Upside</t>
        </is>
      </c>
      <c r="C99">
        <f>SUMIFS(Revenue!$F:$F,Revenue!$A:$A,A99,Revenue!$B:$B,B99)</f>
      </c>
      <c r="D99">
        <f>SUMIFS(Revenue!$K:$K,Revenue!$A:$A,A99,Revenue!$B:$B,B99)</f>
      </c>
      <c r="E99">
        <f>SUMIFS(Costs!$O:$O,Costs!$A:$A,A99,Costs!$B:$B,B99)</f>
      </c>
      <c r="F99">
        <f>SUMIFS(Costs!$C:$C,Costs!$A:$A,A99,Costs!$B:$B,B99)</f>
      </c>
      <c r="G99">
        <f>SUMIFS(Costs!$D:$D,Costs!$A:$A,A99,Costs!$B:$B,B99)</f>
      </c>
      <c r="H99">
        <f>IF(F99=0,0,(SUMIFS(Costs!$E:$E,Costs!$A:$A,A99,Costs!$B:$B,B99)+SUMIFS(Costs!$F:$F,Costs!$A:$A,A99,Costs!$B:$B,B99))/F99)</f>
      </c>
      <c r="I99">
        <f>IF(G99=0,0,C99/G99)</f>
      </c>
      <c r="J99">
        <f>IF(G99=0,0,D99/G99)</f>
      </c>
      <c r="K99">
        <f>D99-E99</f>
      </c>
      <c r="L99">
        <f>IF(J99&lt;=0,0,H99/J99)</f>
      </c>
      <c r="M99">
        <f>IF(INDEX(Assumptions!$C:$E,MATCH("Net platform margin before OPEX",Assumptions!$B:$B,0),MATCH(B99,Assumptions!$C$3:$E$3,0))=0,0,E99/INDEX(Assumptions!$C:$E,MATCH("Net platform margin before OPEX",Assumptions!$B:$B,0),MATCH(B99,Assumptions!$C$3:$E$3,0)))</f>
      </c>
    </row>
    <row r="100">
      <c r="A100">
        <v>27</v>
      </c>
      <c r="B100" t="inlineStr">
        <is>
          <t>Upside</t>
        </is>
      </c>
      <c r="C100">
        <f>SUMIFS(Revenue!$F:$F,Revenue!$A:$A,A100,Revenue!$B:$B,B100)</f>
      </c>
      <c r="D100">
        <f>SUMIFS(Revenue!$K:$K,Revenue!$A:$A,A100,Revenue!$B:$B,B100)</f>
      </c>
      <c r="E100">
        <f>SUMIFS(Costs!$O:$O,Costs!$A:$A,A100,Costs!$B:$B,B100)</f>
      </c>
      <c r="F100">
        <f>SUMIFS(Costs!$C:$C,Costs!$A:$A,A100,Costs!$B:$B,B100)</f>
      </c>
      <c r="G100">
        <f>SUMIFS(Costs!$D:$D,Costs!$A:$A,A100,Costs!$B:$B,B100)</f>
      </c>
      <c r="H100">
        <f>IF(F100=0,0,(SUMIFS(Costs!$E:$E,Costs!$A:$A,A100,Costs!$B:$B,B100)+SUMIFS(Costs!$F:$F,Costs!$A:$A,A100,Costs!$B:$B,B100))/F100)</f>
      </c>
      <c r="I100">
        <f>IF(G100=0,0,C100/G100)</f>
      </c>
      <c r="J100">
        <f>IF(G100=0,0,D100/G100)</f>
      </c>
      <c r="K100">
        <f>D100-E100</f>
      </c>
      <c r="L100">
        <f>IF(J100&lt;=0,0,H100/J100)</f>
      </c>
      <c r="M100">
        <f>IF(INDEX(Assumptions!$C:$E,MATCH("Net platform margin before OPEX",Assumptions!$B:$B,0),MATCH(B100,Assumptions!$C$3:$E$3,0))=0,0,E100/INDEX(Assumptions!$C:$E,MATCH("Net platform margin before OPEX",Assumptions!$B:$B,0),MATCH(B100,Assumptions!$C$3:$E$3,0)))</f>
      </c>
    </row>
    <row r="101">
      <c r="A101">
        <v>28</v>
      </c>
      <c r="B101" t="inlineStr">
        <is>
          <t>Upside</t>
        </is>
      </c>
      <c r="C101">
        <f>SUMIFS(Revenue!$F:$F,Revenue!$A:$A,A101,Revenue!$B:$B,B101)</f>
      </c>
      <c r="D101">
        <f>SUMIFS(Revenue!$K:$K,Revenue!$A:$A,A101,Revenue!$B:$B,B101)</f>
      </c>
      <c r="E101">
        <f>SUMIFS(Costs!$O:$O,Costs!$A:$A,A101,Costs!$B:$B,B101)</f>
      </c>
      <c r="F101">
        <f>SUMIFS(Costs!$C:$C,Costs!$A:$A,A101,Costs!$B:$B,B101)</f>
      </c>
      <c r="G101">
        <f>SUMIFS(Costs!$D:$D,Costs!$A:$A,A101,Costs!$B:$B,B101)</f>
      </c>
      <c r="H101">
        <f>IF(F101=0,0,(SUMIFS(Costs!$E:$E,Costs!$A:$A,A101,Costs!$B:$B,B101)+SUMIFS(Costs!$F:$F,Costs!$A:$A,A101,Costs!$B:$B,B101))/F101)</f>
      </c>
      <c r="I101">
        <f>IF(G101=0,0,C101/G101)</f>
      </c>
      <c r="J101">
        <f>IF(G101=0,0,D101/G101)</f>
      </c>
      <c r="K101">
        <f>D101-E101</f>
      </c>
      <c r="L101">
        <f>IF(J101&lt;=0,0,H101/J101)</f>
      </c>
      <c r="M101">
        <f>IF(INDEX(Assumptions!$C:$E,MATCH("Net platform margin before OPEX",Assumptions!$B:$B,0),MATCH(B101,Assumptions!$C$3:$E$3,0))=0,0,E101/INDEX(Assumptions!$C:$E,MATCH("Net platform margin before OPEX",Assumptions!$B:$B,0),MATCH(B101,Assumptions!$C$3:$E$3,0)))</f>
      </c>
    </row>
    <row r="102">
      <c r="A102">
        <v>29</v>
      </c>
      <c r="B102" t="inlineStr">
        <is>
          <t>Upside</t>
        </is>
      </c>
      <c r="C102">
        <f>SUMIFS(Revenue!$F:$F,Revenue!$A:$A,A102,Revenue!$B:$B,B102)</f>
      </c>
      <c r="D102">
        <f>SUMIFS(Revenue!$K:$K,Revenue!$A:$A,A102,Revenue!$B:$B,B102)</f>
      </c>
      <c r="E102">
        <f>SUMIFS(Costs!$O:$O,Costs!$A:$A,A102,Costs!$B:$B,B102)</f>
      </c>
      <c r="F102">
        <f>SUMIFS(Costs!$C:$C,Costs!$A:$A,A102,Costs!$B:$B,B102)</f>
      </c>
      <c r="G102">
        <f>SUMIFS(Costs!$D:$D,Costs!$A:$A,A102,Costs!$B:$B,B102)</f>
      </c>
      <c r="H102">
        <f>IF(F102=0,0,(SUMIFS(Costs!$E:$E,Costs!$A:$A,A102,Costs!$B:$B,B102)+SUMIFS(Costs!$F:$F,Costs!$A:$A,A102,Costs!$B:$B,B102))/F102)</f>
      </c>
      <c r="I102">
        <f>IF(G102=0,0,C102/G102)</f>
      </c>
      <c r="J102">
        <f>IF(G102=0,0,D102/G102)</f>
      </c>
      <c r="K102">
        <f>D102-E102</f>
      </c>
      <c r="L102">
        <f>IF(J102&lt;=0,0,H102/J102)</f>
      </c>
      <c r="M102">
        <f>IF(INDEX(Assumptions!$C:$E,MATCH("Net platform margin before OPEX",Assumptions!$B:$B,0),MATCH(B102,Assumptions!$C$3:$E$3,0))=0,0,E102/INDEX(Assumptions!$C:$E,MATCH("Net platform margin before OPEX",Assumptions!$B:$B,0),MATCH(B102,Assumptions!$C$3:$E$3,0)))</f>
      </c>
    </row>
    <row r="103">
      <c r="A103">
        <v>30</v>
      </c>
      <c r="B103" t="inlineStr">
        <is>
          <t>Upside</t>
        </is>
      </c>
      <c r="C103">
        <f>SUMIFS(Revenue!$F:$F,Revenue!$A:$A,A103,Revenue!$B:$B,B103)</f>
      </c>
      <c r="D103">
        <f>SUMIFS(Revenue!$K:$K,Revenue!$A:$A,A103,Revenue!$B:$B,B103)</f>
      </c>
      <c r="E103">
        <f>SUMIFS(Costs!$O:$O,Costs!$A:$A,A103,Costs!$B:$B,B103)</f>
      </c>
      <c r="F103">
        <f>SUMIFS(Costs!$C:$C,Costs!$A:$A,A103,Costs!$B:$B,B103)</f>
      </c>
      <c r="G103">
        <f>SUMIFS(Costs!$D:$D,Costs!$A:$A,A103,Costs!$B:$B,B103)</f>
      </c>
      <c r="H103">
        <f>IF(F103=0,0,(SUMIFS(Costs!$E:$E,Costs!$A:$A,A103,Costs!$B:$B,B103)+SUMIFS(Costs!$F:$F,Costs!$A:$A,A103,Costs!$B:$B,B103))/F103)</f>
      </c>
      <c r="I103">
        <f>IF(G103=0,0,C103/G103)</f>
      </c>
      <c r="J103">
        <f>IF(G103=0,0,D103/G103)</f>
      </c>
      <c r="K103">
        <f>D103-E103</f>
      </c>
      <c r="L103">
        <f>IF(J103&lt;=0,0,H103/J103)</f>
      </c>
      <c r="M103">
        <f>IF(INDEX(Assumptions!$C:$E,MATCH("Net platform margin before OPEX",Assumptions!$B:$B,0),MATCH(B103,Assumptions!$C$3:$E$3,0))=0,0,E103/INDEX(Assumptions!$C:$E,MATCH("Net platform margin before OPEX",Assumptions!$B:$B,0),MATCH(B103,Assumptions!$C$3:$E$3,0)))</f>
      </c>
    </row>
    <row r="104">
      <c r="A104">
        <v>31</v>
      </c>
      <c r="B104" t="inlineStr">
        <is>
          <t>Upside</t>
        </is>
      </c>
      <c r="C104">
        <f>SUMIFS(Revenue!$F:$F,Revenue!$A:$A,A104,Revenue!$B:$B,B104)</f>
      </c>
      <c r="D104">
        <f>SUMIFS(Revenue!$K:$K,Revenue!$A:$A,A104,Revenue!$B:$B,B104)</f>
      </c>
      <c r="E104">
        <f>SUMIFS(Costs!$O:$O,Costs!$A:$A,A104,Costs!$B:$B,B104)</f>
      </c>
      <c r="F104">
        <f>SUMIFS(Costs!$C:$C,Costs!$A:$A,A104,Costs!$B:$B,B104)</f>
      </c>
      <c r="G104">
        <f>SUMIFS(Costs!$D:$D,Costs!$A:$A,A104,Costs!$B:$B,B104)</f>
      </c>
      <c r="H104">
        <f>IF(F104=0,0,(SUMIFS(Costs!$E:$E,Costs!$A:$A,A104,Costs!$B:$B,B104)+SUMIFS(Costs!$F:$F,Costs!$A:$A,A104,Costs!$B:$B,B104))/F104)</f>
      </c>
      <c r="I104">
        <f>IF(G104=0,0,C104/G104)</f>
      </c>
      <c r="J104">
        <f>IF(G104=0,0,D104/G104)</f>
      </c>
      <c r="K104">
        <f>D104-E104</f>
      </c>
      <c r="L104">
        <f>IF(J104&lt;=0,0,H104/J104)</f>
      </c>
      <c r="M104">
        <f>IF(INDEX(Assumptions!$C:$E,MATCH("Net platform margin before OPEX",Assumptions!$B:$B,0),MATCH(B104,Assumptions!$C$3:$E$3,0))=0,0,E104/INDEX(Assumptions!$C:$E,MATCH("Net platform margin before OPEX",Assumptions!$B:$B,0),MATCH(B104,Assumptions!$C$3:$E$3,0)))</f>
      </c>
    </row>
    <row r="105">
      <c r="A105">
        <v>32</v>
      </c>
      <c r="B105" t="inlineStr">
        <is>
          <t>Upside</t>
        </is>
      </c>
      <c r="C105">
        <f>SUMIFS(Revenue!$F:$F,Revenue!$A:$A,A105,Revenue!$B:$B,B105)</f>
      </c>
      <c r="D105">
        <f>SUMIFS(Revenue!$K:$K,Revenue!$A:$A,A105,Revenue!$B:$B,B105)</f>
      </c>
      <c r="E105">
        <f>SUMIFS(Costs!$O:$O,Costs!$A:$A,A105,Costs!$B:$B,B105)</f>
      </c>
      <c r="F105">
        <f>SUMIFS(Costs!$C:$C,Costs!$A:$A,A105,Costs!$B:$B,B105)</f>
      </c>
      <c r="G105">
        <f>SUMIFS(Costs!$D:$D,Costs!$A:$A,A105,Costs!$B:$B,B105)</f>
      </c>
      <c r="H105">
        <f>IF(F105=0,0,(SUMIFS(Costs!$E:$E,Costs!$A:$A,A105,Costs!$B:$B,B105)+SUMIFS(Costs!$F:$F,Costs!$A:$A,A105,Costs!$B:$B,B105))/F105)</f>
      </c>
      <c r="I105">
        <f>IF(G105=0,0,C105/G105)</f>
      </c>
      <c r="J105">
        <f>IF(G105=0,0,D105/G105)</f>
      </c>
      <c r="K105">
        <f>D105-E105</f>
      </c>
      <c r="L105">
        <f>IF(J105&lt;=0,0,H105/J105)</f>
      </c>
      <c r="M105">
        <f>IF(INDEX(Assumptions!$C:$E,MATCH("Net platform margin before OPEX",Assumptions!$B:$B,0),MATCH(B105,Assumptions!$C$3:$E$3,0))=0,0,E105/INDEX(Assumptions!$C:$E,MATCH("Net platform margin before OPEX",Assumptions!$B:$B,0),MATCH(B105,Assumptions!$C$3:$E$3,0)))</f>
      </c>
    </row>
    <row r="106">
      <c r="A106">
        <v>33</v>
      </c>
      <c r="B106" t="inlineStr">
        <is>
          <t>Upside</t>
        </is>
      </c>
      <c r="C106">
        <f>SUMIFS(Revenue!$F:$F,Revenue!$A:$A,A106,Revenue!$B:$B,B106)</f>
      </c>
      <c r="D106">
        <f>SUMIFS(Revenue!$K:$K,Revenue!$A:$A,A106,Revenue!$B:$B,B106)</f>
      </c>
      <c r="E106">
        <f>SUMIFS(Costs!$O:$O,Costs!$A:$A,A106,Costs!$B:$B,B106)</f>
      </c>
      <c r="F106">
        <f>SUMIFS(Costs!$C:$C,Costs!$A:$A,A106,Costs!$B:$B,B106)</f>
      </c>
      <c r="G106">
        <f>SUMIFS(Costs!$D:$D,Costs!$A:$A,A106,Costs!$B:$B,B106)</f>
      </c>
      <c r="H106">
        <f>IF(F106=0,0,(SUMIFS(Costs!$E:$E,Costs!$A:$A,A106,Costs!$B:$B,B106)+SUMIFS(Costs!$F:$F,Costs!$A:$A,A106,Costs!$B:$B,B106))/F106)</f>
      </c>
      <c r="I106">
        <f>IF(G106=0,0,C106/G106)</f>
      </c>
      <c r="J106">
        <f>IF(G106=0,0,D106/G106)</f>
      </c>
      <c r="K106">
        <f>D106-E106</f>
      </c>
      <c r="L106">
        <f>IF(J106&lt;=0,0,H106/J106)</f>
      </c>
      <c r="M106">
        <f>IF(INDEX(Assumptions!$C:$E,MATCH("Net platform margin before OPEX",Assumptions!$B:$B,0),MATCH(B106,Assumptions!$C$3:$E$3,0))=0,0,E106/INDEX(Assumptions!$C:$E,MATCH("Net platform margin before OPEX",Assumptions!$B:$B,0),MATCH(B106,Assumptions!$C$3:$E$3,0)))</f>
      </c>
    </row>
    <row r="107">
      <c r="A107">
        <v>34</v>
      </c>
      <c r="B107" t="inlineStr">
        <is>
          <t>Upside</t>
        </is>
      </c>
      <c r="C107">
        <f>SUMIFS(Revenue!$F:$F,Revenue!$A:$A,A107,Revenue!$B:$B,B107)</f>
      </c>
      <c r="D107">
        <f>SUMIFS(Revenue!$K:$K,Revenue!$A:$A,A107,Revenue!$B:$B,B107)</f>
      </c>
      <c r="E107">
        <f>SUMIFS(Costs!$O:$O,Costs!$A:$A,A107,Costs!$B:$B,B107)</f>
      </c>
      <c r="F107">
        <f>SUMIFS(Costs!$C:$C,Costs!$A:$A,A107,Costs!$B:$B,B107)</f>
      </c>
      <c r="G107">
        <f>SUMIFS(Costs!$D:$D,Costs!$A:$A,A107,Costs!$B:$B,B107)</f>
      </c>
      <c r="H107">
        <f>IF(F107=0,0,(SUMIFS(Costs!$E:$E,Costs!$A:$A,A107,Costs!$B:$B,B107)+SUMIFS(Costs!$F:$F,Costs!$A:$A,A107,Costs!$B:$B,B107))/F107)</f>
      </c>
      <c r="I107">
        <f>IF(G107=0,0,C107/G107)</f>
      </c>
      <c r="J107">
        <f>IF(G107=0,0,D107/G107)</f>
      </c>
      <c r="K107">
        <f>D107-E107</f>
      </c>
      <c r="L107">
        <f>IF(J107&lt;=0,0,H107/J107)</f>
      </c>
      <c r="M107">
        <f>IF(INDEX(Assumptions!$C:$E,MATCH("Net platform margin before OPEX",Assumptions!$B:$B,0),MATCH(B107,Assumptions!$C$3:$E$3,0))=0,0,E107/INDEX(Assumptions!$C:$E,MATCH("Net platform margin before OPEX",Assumptions!$B:$B,0),MATCH(B107,Assumptions!$C$3:$E$3,0)))</f>
      </c>
    </row>
    <row r="108">
      <c r="A108">
        <v>35</v>
      </c>
      <c r="B108" t="inlineStr">
        <is>
          <t>Upside</t>
        </is>
      </c>
      <c r="C108">
        <f>SUMIFS(Revenue!$F:$F,Revenue!$A:$A,A108,Revenue!$B:$B,B108)</f>
      </c>
      <c r="D108">
        <f>SUMIFS(Revenue!$K:$K,Revenue!$A:$A,A108,Revenue!$B:$B,B108)</f>
      </c>
      <c r="E108">
        <f>SUMIFS(Costs!$O:$O,Costs!$A:$A,A108,Costs!$B:$B,B108)</f>
      </c>
      <c r="F108">
        <f>SUMIFS(Costs!$C:$C,Costs!$A:$A,A108,Costs!$B:$B,B108)</f>
      </c>
      <c r="G108">
        <f>SUMIFS(Costs!$D:$D,Costs!$A:$A,A108,Costs!$B:$B,B108)</f>
      </c>
      <c r="H108">
        <f>IF(F108=0,0,(SUMIFS(Costs!$E:$E,Costs!$A:$A,A108,Costs!$B:$B,B108)+SUMIFS(Costs!$F:$F,Costs!$A:$A,A108,Costs!$B:$B,B108))/F108)</f>
      </c>
      <c r="I108">
        <f>IF(G108=0,0,C108/G108)</f>
      </c>
      <c r="J108">
        <f>IF(G108=0,0,D108/G108)</f>
      </c>
      <c r="K108">
        <f>D108-E108</f>
      </c>
      <c r="L108">
        <f>IF(J108&lt;=0,0,H108/J108)</f>
      </c>
      <c r="M108">
        <f>IF(INDEX(Assumptions!$C:$E,MATCH("Net platform margin before OPEX",Assumptions!$B:$B,0),MATCH(B108,Assumptions!$C$3:$E$3,0))=0,0,E108/INDEX(Assumptions!$C:$E,MATCH("Net platform margin before OPEX",Assumptions!$B:$B,0),MATCH(B108,Assumptions!$C$3:$E$3,0)))</f>
      </c>
    </row>
    <row r="109">
      <c r="A109">
        <v>36</v>
      </c>
      <c r="B109" t="inlineStr">
        <is>
          <t>Upside</t>
        </is>
      </c>
      <c r="C109">
        <f>SUMIFS(Revenue!$F:$F,Revenue!$A:$A,A109,Revenue!$B:$B,B109)</f>
      </c>
      <c r="D109">
        <f>SUMIFS(Revenue!$K:$K,Revenue!$A:$A,A109,Revenue!$B:$B,B109)</f>
      </c>
      <c r="E109">
        <f>SUMIFS(Costs!$O:$O,Costs!$A:$A,A109,Costs!$B:$B,B109)</f>
      </c>
      <c r="F109">
        <f>SUMIFS(Costs!$C:$C,Costs!$A:$A,A109,Costs!$B:$B,B109)</f>
      </c>
      <c r="G109">
        <f>SUMIFS(Costs!$D:$D,Costs!$A:$A,A109,Costs!$B:$B,B109)</f>
      </c>
      <c r="H109">
        <f>IF(F109=0,0,(SUMIFS(Costs!$E:$E,Costs!$A:$A,A109,Costs!$B:$B,B109)+SUMIFS(Costs!$F:$F,Costs!$A:$A,A109,Costs!$B:$B,B109))/F109)</f>
      </c>
      <c r="I109">
        <f>IF(G109=0,0,C109/G109)</f>
      </c>
      <c r="J109">
        <f>IF(G109=0,0,D109/G109)</f>
      </c>
      <c r="K109">
        <f>D109-E109</f>
      </c>
      <c r="L109">
        <f>IF(J109&lt;=0,0,H109/J109)</f>
      </c>
      <c r="M109">
        <f>IF(INDEX(Assumptions!$C:$E,MATCH("Net platform margin before OPEX",Assumptions!$B:$B,0),MATCH(B109,Assumptions!$C$3:$E$3,0))=0,0,E109/INDEX(Assumptions!$C:$E,MATCH("Net platform margin before OPEX",Assumptions!$B:$B,0),MATCH(B109,Assumptions!$C$3:$E$3,0)))</f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30" customWidth="1"/>
    <col min="2" max="2" width="22" customWidth="1"/>
    <col min="3" max="3" width="22" customWidth="1"/>
    <col min="4" max="4" width="22" customWidth="1"/>
    <col min="5" max="5" width="42" customWidth="1"/>
  </cols>
  <sheetData>
    <row r="1">
      <c r="A1" t="inlineStr">
        <is>
          <t>Metric</t>
        </is>
      </c>
      <c r="B1" t="inlineStr">
        <is>
          <t>Conservative</t>
        </is>
      </c>
      <c r="C1" t="inlineStr">
        <is>
          <t>Base</t>
        </is>
      </c>
      <c r="D1" t="inlineStr">
        <is>
          <t>Upside</t>
        </is>
      </c>
      <c r="E1" t="inlineStr">
        <is>
          <t>Comment</t>
        </is>
      </c>
    </row>
    <row r="2">
      <c r="A2" t="inlineStr">
        <is>
          <t>12M GMV</t>
        </is>
      </c>
      <c r="B2">
        <f>SUMIFS(Revenue!$F:$F,Revenue!$B:$B,B$1,Revenue!$A:$A,"&lt;=12")</f>
      </c>
      <c r="C2">
        <f>SUMIFS(Revenue!$F:$F,Revenue!$B:$B,C$1,Revenue!$A:$A,"&lt;=12")</f>
      </c>
      <c r="D2">
        <f>SUMIFS(Revenue!$F:$F,Revenue!$B:$B,D$1,Revenue!$A:$A,"&lt;=12")</f>
      </c>
      <c r="E2" t="inlineStr">
        <is>
          <t>Valid ticket volume</t>
        </is>
      </c>
    </row>
    <row r="3">
      <c r="A3" t="inlineStr">
        <is>
          <t>12M Net Platform Revenue</t>
        </is>
      </c>
      <c r="B3">
        <f>SUMIFS(Revenue!$K:$K,Revenue!$B:$B,B$1,Revenue!$A:$A,"&lt;=12")</f>
      </c>
      <c r="C3">
        <f>SUMIFS(Revenue!$K:$K,Revenue!$B:$B,C$1,Revenue!$A:$A,"&lt;=12")</f>
      </c>
      <c r="D3">
        <f>SUMIFS(Revenue!$K:$K,Revenue!$B:$B,D$1,Revenue!$A:$A,"&lt;=12")</f>
      </c>
      <c r="E3" t="inlineStr">
        <is>
          <t>Platform fee minus gas reserve</t>
        </is>
      </c>
    </row>
    <row r="4">
      <c r="A4" t="inlineStr">
        <is>
          <t>12M Total Costs</t>
        </is>
      </c>
      <c r="B4">
        <f>SUMIFS(Costs!$O:$O,Costs!$B:$B,B$1,Costs!$A:$A,"&lt;=12")</f>
      </c>
      <c r="C4">
        <f>SUMIFS(Costs!$O:$O,Costs!$B:$B,C$1,Costs!$A:$A,"&lt;=12")</f>
      </c>
      <c r="D4">
        <f>SUMIFS(Costs!$O:$O,Costs!$B:$B,D$1,Costs!$A:$A,"&lt;=12")</f>
      </c>
      <c r="E4" t="inlineStr">
        <is>
          <t>OPEX plus variable costs and reserves</t>
        </is>
      </c>
    </row>
    <row r="5">
      <c r="A5" t="inlineStr">
        <is>
          <t>24M GMV</t>
        </is>
      </c>
      <c r="B5">
        <f>SUMIFS(Revenue!$F:$F,Revenue!$B:$B,B$1,Revenue!$A:$A,"&lt;=24")</f>
      </c>
      <c r="C5">
        <f>SUMIFS(Revenue!$F:$F,Revenue!$B:$B,C$1,Revenue!$A:$A,"&lt;=24")</f>
      </c>
      <c r="D5">
        <f>SUMIFS(Revenue!$F:$F,Revenue!$B:$B,D$1,Revenue!$A:$A,"&lt;=24")</f>
      </c>
      <c r="E5" t="inlineStr">
        <is>
          <t>Valid ticket volume</t>
        </is>
      </c>
    </row>
    <row r="6">
      <c r="A6" t="inlineStr">
        <is>
          <t>24M Net Platform Revenue</t>
        </is>
      </c>
      <c r="B6">
        <f>SUMIFS(Revenue!$K:$K,Revenue!$B:$B,B$1,Revenue!$A:$A,"&lt;=24")</f>
      </c>
      <c r="C6">
        <f>SUMIFS(Revenue!$K:$K,Revenue!$B:$B,C$1,Revenue!$A:$A,"&lt;=24")</f>
      </c>
      <c r="D6">
        <f>SUMIFS(Revenue!$K:$K,Revenue!$B:$B,D$1,Revenue!$A:$A,"&lt;=24")</f>
      </c>
      <c r="E6" t="inlineStr">
        <is>
          <t>Platform fee minus gas reserve</t>
        </is>
      </c>
    </row>
    <row r="7">
      <c r="A7" t="inlineStr">
        <is>
          <t>24M Total Costs</t>
        </is>
      </c>
      <c r="B7">
        <f>SUMIFS(Costs!$O:$O,Costs!$B:$B,B$1,Costs!$A:$A,"&lt;=24")</f>
      </c>
      <c r="C7">
        <f>SUMIFS(Costs!$O:$O,Costs!$B:$B,C$1,Costs!$A:$A,"&lt;=24")</f>
      </c>
      <c r="D7">
        <f>SUMIFS(Costs!$O:$O,Costs!$B:$B,D$1,Costs!$A:$A,"&lt;=24")</f>
      </c>
      <c r="E7" t="inlineStr">
        <is>
          <t>OPEX plus variable costs and reserves</t>
        </is>
      </c>
    </row>
    <row r="8">
      <c r="A8" t="inlineStr">
        <is>
          <t>36M GMV</t>
        </is>
      </c>
      <c r="B8">
        <f>SUMIFS(Revenue!$F:$F,Revenue!$B:$B,B$1)</f>
      </c>
      <c r="C8">
        <f>SUMIFS(Revenue!$F:$F,Revenue!$B:$B,C$1)</f>
      </c>
      <c r="D8">
        <f>SUMIFS(Revenue!$F:$F,Revenue!$B:$B,D$1)</f>
      </c>
      <c r="E8" t="inlineStr">
        <is>
          <t>Valid ticket volume</t>
        </is>
      </c>
    </row>
    <row r="9">
      <c r="A9" t="inlineStr">
        <is>
          <t>36M Net Platform Revenue</t>
        </is>
      </c>
      <c r="B9">
        <f>SUMIFS(Revenue!$K:$K,Revenue!$B:$B,B$1)</f>
      </c>
      <c r="C9">
        <f>SUMIFS(Revenue!$K:$K,Revenue!$B:$B,C$1)</f>
      </c>
      <c r="D9">
        <f>SUMIFS(Revenue!$K:$K,Revenue!$B:$B,D$1)</f>
      </c>
      <c r="E9" t="inlineStr">
        <is>
          <t>Platform fee minus gas reserve</t>
        </is>
      </c>
    </row>
    <row r="10">
      <c r="A10" t="inlineStr">
        <is>
          <t>36M Total Costs</t>
        </is>
      </c>
      <c r="B10">
        <f>SUMIFS(Costs!$O:$O,Costs!$B:$B,B$1)</f>
      </c>
      <c r="C10">
        <f>SUMIFS(Costs!$O:$O,Costs!$B:$B,C$1)</f>
      </c>
      <c r="D10">
        <f>SUMIFS(Costs!$O:$O,Costs!$B:$B,D$1)</f>
      </c>
      <c r="E10" t="inlineStr">
        <is>
          <t>OPEX plus variable costs and reserves</t>
        </is>
      </c>
    </row>
    <row r="11">
      <c r="A11" t="inlineStr">
        <is>
          <t>Scenario interpretation</t>
        </is>
      </c>
      <c r="B11" t="inlineStr">
        <is>
          <t>Slow legal/GTM, high CAC, low retention</t>
        </is>
      </c>
      <c r="C11" t="inlineStr">
        <is>
          <t>Controlled launch in Nigeria/Kenya then selective queue 2</t>
        </is>
      </c>
      <c r="D11" t="inlineStr">
        <is>
          <t>Fast partner growth with stronger retention</t>
        </is>
      </c>
      <c r="E11" t="inlineStr">
        <is>
          <t>Narrative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36" customWidth="1"/>
    <col min="2" max="2" width="18" customWidth="1"/>
    <col min="3" max="3" width="18" customWidth="1"/>
    <col min="4" max="4" width="18" customWidth="1"/>
    <col min="5" max="5" width="48" customWidth="1"/>
  </cols>
  <sheetData>
    <row r="1">
      <c r="A1" t="inlineStr">
        <is>
          <t>Variable</t>
        </is>
      </c>
      <c r="B1" t="inlineStr">
        <is>
          <t>Downside</t>
        </is>
      </c>
      <c r="C1" t="inlineStr">
        <is>
          <t>Base</t>
        </is>
      </c>
      <c r="D1" t="inlineStr">
        <is>
          <t>Upside</t>
        </is>
      </c>
      <c r="E1" t="inlineStr">
        <is>
          <t>Interpretation / formula</t>
        </is>
      </c>
    </row>
    <row r="2">
      <c r="A2" t="inlineStr">
        <is>
          <t>CPA per qualified player</t>
        </is>
      </c>
      <c r="B2">
        <v>25</v>
      </c>
      <c r="C2">
        <v>15</v>
      </c>
      <c r="D2">
        <v>10</v>
      </c>
      <c r="E2" t="inlineStr">
        <is>
          <t>Higher CPA increases CAC and payback period</t>
        </is>
      </c>
    </row>
    <row r="3">
      <c r="A3" t="inlineStr">
        <is>
          <t>Average ticket</t>
        </is>
      </c>
      <c r="B3">
        <v>8</v>
      </c>
      <c r="C3">
        <v>15</v>
      </c>
      <c r="D3">
        <v>25</v>
      </c>
      <c r="E3" t="inlineStr">
        <is>
          <t>Lower ticket requires more users for same GMV</t>
        </is>
      </c>
    </row>
    <row r="4">
      <c r="A4" t="inlineStr">
        <is>
          <t>Repeat purchase rate</t>
        </is>
      </c>
      <c r="B4">
        <v>0.25</v>
      </c>
      <c r="C4">
        <v>0.42</v>
      </c>
      <c r="D4">
        <v>0.6</v>
      </c>
      <c r="E4" t="inlineStr">
        <is>
          <t>Retention is the key LTV driver</t>
        </is>
      </c>
    </row>
    <row r="5">
      <c r="A5" t="inlineStr">
        <is>
          <t>First purchase conversion</t>
        </is>
      </c>
      <c r="B5">
        <v>0.2</v>
      </c>
      <c r="C5">
        <v>0.32</v>
      </c>
      <c r="D5">
        <v>0.45</v>
      </c>
      <c r="E5" t="inlineStr">
        <is>
          <t>UX/onboarding pressure point</t>
        </is>
      </c>
    </row>
    <row r="6">
      <c r="A6" t="inlineStr">
        <is>
          <t>Net platform margin before OPEX</t>
        </is>
      </c>
      <c r="B6">
        <v>0.06</v>
      </c>
      <c r="C6">
        <v>0.08</v>
      </c>
      <c r="D6">
        <v>0.09</v>
      </c>
      <c r="E6" t="inlineStr">
        <is>
          <t>Gas and fee structure sensitivity</t>
        </is>
      </c>
    </row>
    <row r="7">
      <c r="A7" t="inlineStr">
        <is>
          <t>Monthly fixed costs</t>
        </is>
      </c>
      <c r="B7">
        <v>220000</v>
      </c>
      <c r="C7">
        <v>180000</v>
      </c>
      <c r="D7">
        <v>140000</v>
      </c>
      <c r="E7" t="inlineStr">
        <is>
          <t>Lean operation lowers break-even GMV</t>
        </is>
      </c>
    </row>
    <row r="8">
      <c r="A8" t="inlineStr">
        <is>
          <t>Break-even GMV at downside/base/upside margin</t>
        </is>
      </c>
      <c r="B8">
        <f>B7/B6</f>
      </c>
      <c r="C8">
        <f>C7/C6</f>
      </c>
      <c r="D8">
        <f>D7/D6</f>
      </c>
      <c r="E8" t="inlineStr">
        <is>
          <t>Fixed costs / net platform margin</t>
        </is>
      </c>
    </row>
    <row r="9">
      <c r="A9" t="inlineStr">
        <is>
          <t>Stress test: CPA +50%</t>
        </is>
      </c>
      <c r="B9">
        <f>Assumptions!D20*1.5</f>
      </c>
      <c r="C9"/>
      <c r="D9"/>
      <c r="E9" t="inlineStr">
        <is>
          <t>Apply to Costs CPA formula in duplicate model if needed</t>
        </is>
      </c>
    </row>
    <row r="10">
      <c r="A10" t="inlineStr">
        <is>
          <t>Stress test: ticket -30%</t>
        </is>
      </c>
      <c r="B10">
        <f>Assumptions!D18*0.7</f>
      </c>
      <c r="C10"/>
      <c r="D10"/>
      <c r="E10" t="inlineStr">
        <is>
          <t>Apply to Revenue average ticket if needed</t>
        </is>
      </c>
    </row>
    <row r="11">
      <c r="A11" t="inlineStr">
        <is>
          <t>Stress test: retention -50%</t>
        </is>
      </c>
      <c r="B11">
        <f>Assumptions!D16*0.5</f>
      </c>
      <c r="C11"/>
      <c r="D11"/>
      <c r="E11" t="inlineStr">
        <is>
          <t>Apply to Funnel repeat purchase if needed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16" customWidth="1"/>
    <col min="2" max="2" width="16" customWidth="1"/>
    <col min="3" max="3" width="18" customWidth="1"/>
    <col min="4" max="4" width="16" customWidth="1"/>
    <col min="5" max="5" width="20" customWidth="1"/>
    <col min="6" max="6" width="16" customWidth="1"/>
    <col min="7" max="7" width="18" customWidth="1"/>
    <col min="8" max="8" width="16" customWidth="1"/>
    <col min="9" max="9" width="16" customWidth="1"/>
    <col min="10" max="10" width="18" customWidth="1"/>
    <col min="11" max="11" width="16" customWidth="1"/>
    <col min="12" max="12" width="28" customWidth="1"/>
    <col min="13" max="13" width="28" customWidth="1"/>
  </cols>
  <sheetData>
    <row r="1">
      <c r="A1" t="inlineStr">
        <is>
          <t>Scenario</t>
        </is>
      </c>
      <c r="B1" t="inlineStr">
        <is>
          <t>12M GMV</t>
        </is>
      </c>
      <c r="C1" t="inlineStr">
        <is>
          <t>12M net revenue</t>
        </is>
      </c>
      <c r="D1" t="inlineStr">
        <is>
          <t>12M costs</t>
        </is>
      </c>
      <c r="E1" t="inlineStr">
        <is>
          <t>12M net cash need</t>
        </is>
      </c>
      <c r="F1" t="inlineStr">
        <is>
          <t>24M GMV</t>
        </is>
      </c>
      <c r="G1" t="inlineStr">
        <is>
          <t>24M net revenue</t>
        </is>
      </c>
      <c r="H1" t="inlineStr">
        <is>
          <t>24M costs</t>
        </is>
      </c>
      <c r="I1" t="inlineStr">
        <is>
          <t>36M GMV</t>
        </is>
      </c>
      <c r="J1" t="inlineStr">
        <is>
          <t>36M net revenue</t>
        </is>
      </c>
      <c r="K1" t="inlineStr">
        <is>
          <t>36M costs</t>
        </is>
      </c>
      <c r="L1" t="inlineStr">
        <is>
          <t>Avg monthly break-even GMV</t>
        </is>
      </c>
      <c r="M1" t="inlineStr">
        <is>
          <t>Funding need for 18M runway</t>
        </is>
      </c>
    </row>
    <row r="2">
      <c r="A2" t="inlineStr">
        <is>
          <t>Conservative</t>
        </is>
      </c>
      <c r="B2">
        <f>SUMIFS(Revenue!$F:$F,Revenue!$B:$B,A2,Revenue!$A:$A,"&lt;=12")</f>
      </c>
      <c r="C2">
        <f>SUMIFS(Revenue!$K:$K,Revenue!$B:$B,A2,Revenue!$A:$A,"&lt;=12")</f>
      </c>
      <c r="D2">
        <f>SUMIFS(Costs!$O:$O,Costs!$B:$B,A2,Costs!$A:$A,"&lt;=12")</f>
      </c>
      <c r="E2">
        <f>MAX(0,D2-C2)</f>
      </c>
      <c r="F2">
        <f>SUMIFS(Revenue!$F:$F,Revenue!$B:$B,A2,Revenue!$A:$A,"&lt;=24")</f>
      </c>
      <c r="G2">
        <f>SUMIFS(Revenue!$K:$K,Revenue!$B:$B,A2,Revenue!$A:$A,"&lt;=24")</f>
      </c>
      <c r="H2">
        <f>SUMIFS(Costs!$O:$O,Costs!$B:$B,A2,Costs!$A:$A,"&lt;=24")</f>
      </c>
      <c r="I2">
        <f>SUMIFS(Revenue!$F:$F,Revenue!$B:$B,A2)</f>
      </c>
      <c r="J2">
        <f>SUMIFS(Revenue!$K:$K,Revenue!$B:$B,A2)</f>
      </c>
      <c r="K2">
        <f>SUMIFS(Costs!$O:$O,Costs!$B:$B,A2)</f>
      </c>
      <c r="L2">
        <f>AVERAGEIFS(Unit_Economics!$M:$M,Unit_Economics!$B:$B,A2,Unit_Economics!$A:$A,"&lt;=12")</f>
      </c>
      <c r="M2">
        <f>MAX(0,SUMIFS(Costs!$O:$O,Costs!$B:$B,A2,Costs!$A:$A,"&lt;=18")-SUMIFS(Revenue!$K:$K,Revenue!$B:$B,A2,Revenue!$A:$A,"&lt;=18"))+INDEX(Assumptions!$C:$E,MATCH("Initial cash buffer",Assumptions!$B:$B,0),MATCH(A2,Assumptions!$C$3:$E$3,0))</f>
      </c>
    </row>
    <row r="3">
      <c r="A3" t="inlineStr">
        <is>
          <t>Base</t>
        </is>
      </c>
      <c r="B3">
        <f>SUMIFS(Revenue!$F:$F,Revenue!$B:$B,A3,Revenue!$A:$A,"&lt;=12")</f>
      </c>
      <c r="C3">
        <f>SUMIFS(Revenue!$K:$K,Revenue!$B:$B,A3,Revenue!$A:$A,"&lt;=12")</f>
      </c>
      <c r="D3">
        <f>SUMIFS(Costs!$O:$O,Costs!$B:$B,A3,Costs!$A:$A,"&lt;=12")</f>
      </c>
      <c r="E3">
        <f>MAX(0,D3-C3)</f>
      </c>
      <c r="F3">
        <f>SUMIFS(Revenue!$F:$F,Revenue!$B:$B,A3,Revenue!$A:$A,"&lt;=24")</f>
      </c>
      <c r="G3">
        <f>SUMIFS(Revenue!$K:$K,Revenue!$B:$B,A3,Revenue!$A:$A,"&lt;=24")</f>
      </c>
      <c r="H3">
        <f>SUMIFS(Costs!$O:$O,Costs!$B:$B,A3,Costs!$A:$A,"&lt;=24")</f>
      </c>
      <c r="I3">
        <f>SUMIFS(Revenue!$F:$F,Revenue!$B:$B,A3)</f>
      </c>
      <c r="J3">
        <f>SUMIFS(Revenue!$K:$K,Revenue!$B:$B,A3)</f>
      </c>
      <c r="K3">
        <f>SUMIFS(Costs!$O:$O,Costs!$B:$B,A3)</f>
      </c>
      <c r="L3">
        <f>AVERAGEIFS(Unit_Economics!$M:$M,Unit_Economics!$B:$B,A3,Unit_Economics!$A:$A,"&lt;=12")</f>
      </c>
      <c r="M3">
        <f>MAX(0,SUMIFS(Costs!$O:$O,Costs!$B:$B,A3,Costs!$A:$A,"&lt;=18")-SUMIFS(Revenue!$K:$K,Revenue!$B:$B,A3,Revenue!$A:$A,"&lt;=18"))+INDEX(Assumptions!$C:$E,MATCH("Initial cash buffer",Assumptions!$B:$B,0),MATCH(A3,Assumptions!$C$3:$E$3,0))</f>
      </c>
    </row>
    <row r="4">
      <c r="A4" t="inlineStr">
        <is>
          <t>Upside</t>
        </is>
      </c>
      <c r="B4">
        <f>SUMIFS(Revenue!$F:$F,Revenue!$B:$B,A4,Revenue!$A:$A,"&lt;=12")</f>
      </c>
      <c r="C4">
        <f>SUMIFS(Revenue!$K:$K,Revenue!$B:$B,A4,Revenue!$A:$A,"&lt;=12")</f>
      </c>
      <c r="D4">
        <f>SUMIFS(Costs!$O:$O,Costs!$B:$B,A4,Costs!$A:$A,"&lt;=12")</f>
      </c>
      <c r="E4">
        <f>MAX(0,D4-C4)</f>
      </c>
      <c r="F4">
        <f>SUMIFS(Revenue!$F:$F,Revenue!$B:$B,A4,Revenue!$A:$A,"&lt;=24")</f>
      </c>
      <c r="G4">
        <f>SUMIFS(Revenue!$K:$K,Revenue!$B:$B,A4,Revenue!$A:$A,"&lt;=24")</f>
      </c>
      <c r="H4">
        <f>SUMIFS(Costs!$O:$O,Costs!$B:$B,A4,Costs!$A:$A,"&lt;=24")</f>
      </c>
      <c r="I4">
        <f>SUMIFS(Revenue!$F:$F,Revenue!$B:$B,A4)</f>
      </c>
      <c r="J4">
        <f>SUMIFS(Revenue!$K:$K,Revenue!$B:$B,A4)</f>
      </c>
      <c r="K4">
        <f>SUMIFS(Costs!$O:$O,Costs!$B:$B,A4)</f>
      </c>
      <c r="L4">
        <f>AVERAGEIFS(Unit_Economics!$M:$M,Unit_Economics!$B:$B,A4,Unit_Economics!$A:$A,"&lt;=12")</f>
      </c>
      <c r="M4">
        <f>MAX(0,SUMIFS(Costs!$O:$O,Costs!$B:$B,A4,Costs!$A:$A,"&lt;=18")-SUMIFS(Revenue!$K:$K,Revenue!$B:$B,A4,Revenue!$A:$A,"&lt;=18"))+INDEX(Assumptions!$C:$E,MATCH("Initial cash buffer",Assumptions!$B:$B,0),MATCH(A4,Assumptions!$C$3:$E$3,0))</f>
      </c>
    </row>
    <row r="5">
      <c r="A5" t="inlineStr">
        <is>
          <t>Notes</t>
        </is>
      </c>
      <c r="B5" t="inlineStr">
        <is>
          <t>Funding need is model output, not fundraising ask</t>
        </is>
      </c>
      <c r="C5"/>
      <c r="D5"/>
      <c r="E5"/>
      <c r="F5"/>
      <c r="G5"/>
      <c r="H5"/>
      <c r="I5"/>
      <c r="J5"/>
      <c r="K5"/>
      <c r="L5"/>
      <c r="M5" t="inlineStr">
        <is>
          <t>Requires legal/licensing and team budget validation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Country Rollout</vt:lpstr>
      <vt:lpstr>Funnel</vt:lpstr>
      <vt:lpstr>Revenue</vt:lpstr>
      <vt:lpstr>Costs</vt:lpstr>
      <vt:lpstr>Unit_Economics</vt:lpstr>
      <vt:lpstr>Scenarios</vt:lpstr>
      <vt:lpstr>Sensitivity</vt:lpstr>
      <vt:lpstr>Investor Summary</vt:lpstr>
    </vt:vector>
  </TitlesOfParts>
  <Company>OX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OX financial model</dc:title>
  <dc:creator>Codex</dc:creator>
  <cp:lastModifiedBy>Codex</cp:lastModifiedBy>
  <dcterms:created xsi:type="dcterms:W3CDTF">2026-06-10T12:00:00Z</dcterms:created>
  <dcterms:modified xsi:type="dcterms:W3CDTF">2026-06-10T12:00:00Z</dcterms:modified>
</cp:coreProperties>
</file>